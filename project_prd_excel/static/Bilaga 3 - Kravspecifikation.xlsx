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documents.e-avrop.com/dav-auth/1OV8PUK-69IhSxTCLHlHcG_HMvtAjvuRdlHe3uYWhU0/project-documents/1977659/"/>
    </mc:Choice>
  </mc:AlternateContent>
  <bookViews>
    <workbookView xWindow="0" yWindow="0" windowWidth="7480" windowHeight="3360" activeTab="3"/>
  </bookViews>
  <sheets>
    <sheet name="Processer" sheetId="7" r:id="rId1"/>
    <sheet name="Ordlista" sheetId="8" r:id="rId2"/>
    <sheet name="Testfall" sheetId="1" state="hidden" r:id="rId3"/>
    <sheet name="Funktionella krav" sheetId="2" r:id="rId4"/>
    <sheet name="Ickefunktionella krav" sheetId="3" r:id="rId5"/>
    <sheet name="3. Informationssäkerhet" sheetId="6" r:id="rId6"/>
  </sheets>
  <definedNames>
    <definedName name="_xlnm._FilterDatabase" localSheetId="5" hidden="1">'3. Informationssäkerhet'!$A$6:$D$6</definedName>
    <definedName name="_xlnm._FilterDatabase" localSheetId="3" hidden="1">'Funktionella krav'!$A$7:$J$162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F2" i="3"/>
  <c r="F3" i="3"/>
  <c r="F4" i="3"/>
  <c r="C19" i="7" l="1"/>
  <c r="C17" i="7" l="1"/>
  <c r="C18" i="7"/>
  <c r="C20" i="7" l="1"/>
</calcChain>
</file>

<file path=xl/sharedStrings.xml><?xml version="1.0" encoding="utf-8"?>
<sst xmlns="http://schemas.openxmlformats.org/spreadsheetml/2006/main" count="1406" uniqueCount="896">
  <si>
    <t>Processer / enheter /förvaltning</t>
  </si>
  <si>
    <t>1. Miljöenheten</t>
  </si>
  <si>
    <t>2. Bygg</t>
  </si>
  <si>
    <t>Börkrav</t>
  </si>
  <si>
    <t>Viktning 1:</t>
  </si>
  <si>
    <t>Viktning 2:</t>
  </si>
  <si>
    <t xml:space="preserve">Nr </t>
  </si>
  <si>
    <t xml:space="preserve">Testfall </t>
  </si>
  <si>
    <t>Administratör</t>
  </si>
  <si>
    <t>Visa hur en administratör skapar en ny ärendetyp och kopplar den till en kunskapsdatabas samt till förvald grupp.</t>
  </si>
  <si>
    <t>Visa hur en administratör ändrar standard e-postmeddelande som går ut till medborgare och anställda när ett svar skickas respektive när man får ett ärende tilldelat.</t>
  </si>
  <si>
    <t>Visa hur en administratör lägger in behörigheter för en nyregistrerad person.</t>
  </si>
  <si>
    <t>Visa hur en administratör ser loggar för när ett konto skapades och av vem.</t>
  </si>
  <si>
    <t>Visa hur en administratör gör fält tvingande baserat på tidigare val i processen. Exempelvis fältet för e-post är tvingande om invånaren begärt svar via e-post, i övriga fall är det valbart att fylla i.</t>
  </si>
  <si>
    <t>Visa hur en administratör ställer in gallringsfrister i systemet.</t>
  </si>
  <si>
    <t>Visa hur en administratör ställer in tidsbegränsningar på aktiviteter i processen och visa hur systemet påminner om detta automatiskt.</t>
  </si>
  <si>
    <t>Visa hur en administratör skapar ett fält i formular för exempelvis  katigorisera vad ärendet handlar om.</t>
  </si>
  <si>
    <t>Visa hur en administratör ställer in ett förinställt svar på den vanligaste frågan och välj det svaret på en inkommen mailfråga. Exempelvis: 'Tack för din fråga, här kommer dina efterfrågade handlingar, MVH Kontaktcenter.'</t>
  </si>
  <si>
    <t>Handläggare</t>
  </si>
  <si>
    <t>En person ringer in och ber om att få en allmän handling skickad till sin e-postadress. Gå igenom hur detta exempel kan lösas.</t>
  </si>
  <si>
    <t xml:space="preserve">Visa hur e-post meddelande blir ett ärende i systemet och hur en KC-handläggare skickar vidare ärendet innehållande e-posten till förvaltning eller avslutar ärendet genom att besvara ärendet. </t>
  </si>
  <si>
    <t>Visa hur förvaltningen får meddelande om det inkomna ärendet och hur de svarar på frågan.</t>
  </si>
  <si>
    <t>Visa hur man söker upp ett ärende från någon som säger sig ha skickat e-post med en fråga för en vecka sedan men har inte fått svar. Visa olika sökmöjligheter.</t>
  </si>
  <si>
    <t>Visa hur man söker upp ett personnummer och sekretessbelägg informationen och skicka den vidare till ansvarig förvaltning.</t>
  </si>
  <si>
    <t>Visa hur man tar fram sekretessbelagda information och visa hur det ser ut för en icke-behörig som söker fram ärendet</t>
  </si>
  <si>
    <t xml:space="preserve">Visa hur en förvaltning skickar tillbaka ett felaktigt fördelat ärende till Kontaktcenter. </t>
  </si>
  <si>
    <t>Visa hur handläggare omdirigerar ett ärende som kommit till fel person inom samma förvaltning.</t>
  </si>
  <si>
    <t>Visa hur fälten som handläggare ska fylla i anpassas beroende på valen som görs i ärendet. Exempelvis beroende på hur invånaren vill bli kontaktad eller om en typ av ärende kräver ytterligare specifik information.</t>
  </si>
  <si>
    <t>Visa hur en notifikation kommer till handläggare om ärenden som inte hanterats inom utsatt tid.</t>
  </si>
  <si>
    <t xml:space="preserve">Visa hur man kan söka fram ärenden utifrån ärende status. </t>
  </si>
  <si>
    <t>Visa hur handläggare ändrar i Handläggarstödets information och visa hur man söker i den.</t>
  </si>
  <si>
    <t>Visa hur en logg på ett ärende kan se ut, innehållandes många händelser. Exempelvis: Ärendet har skapats och skickats till förvaltning; förvaltningen har sedan omdirigerat ärendet till en annan person.</t>
  </si>
  <si>
    <t>Visa vilka olika sätt KC-handläggare kan söka efter registrerade ärenden som tillhör samma person.</t>
  </si>
  <si>
    <t>Visa hur man kan kopiera/duplicera/dela upp ett ärende som inkommit via mejl där innehållet ska till olika enheter.</t>
  </si>
  <si>
    <t>Visa hur handläggaren gör för att skicka ärendet för diarieföring.</t>
  </si>
  <si>
    <t>Visa hur den ansvarige handläggaren får en notifiering/mail med information om inkommit ärende och hur den ansvarige kan hantera ärendet beroende på hur allvarligt den är.</t>
  </si>
  <si>
    <t>Visa hur handläggare skickar ett mindre allvarligt ärende till avslut och en mycket allvarlig Avvikelse till fortsatt utredning. Kan ansvarige se hur ärendet kommer fortsätta beroende på valen?</t>
  </si>
  <si>
    <t>Tänd några hjälptexter i rapporteringen av ett ärende och visa hur systemet kan underlätta arbetet för handläggare.</t>
  </si>
  <si>
    <t>Handläggare har fått in ett ärende. Uppgifter behöver fördelas till flera handläggare/roller. Visa hur man fördelar uppgifter till flera handläggare och hur handläggaren ser vilka deras arbetsuppgifter är.</t>
  </si>
  <si>
    <t>Visa hur systemet presenteras i mobilversion och hur ärendehantering ser ut i den.</t>
  </si>
  <si>
    <t>Medborgare</t>
  </si>
  <si>
    <t>Visa hur ett formulär kan se ut för invånarna att fylla i och skicka in till kommunen.</t>
  </si>
  <si>
    <t>Visa hur en handläggare skickar ett svar till invånaren och hur denna kan ta del av informationen på ett säkert sätt utan att personuppgifter eller känslig information skickas via e-post.</t>
  </si>
  <si>
    <t>Systemförvaltare</t>
  </si>
  <si>
    <t>Visa hur systemförvaltare tar fram statistik för en avdelning/enhet, för en viss tidsperiod.</t>
  </si>
  <si>
    <t>Visa hur systemförvaltare tar fram statistik för en specifik handläggares ärendehantering.</t>
  </si>
  <si>
    <t>Visa hur systemförvaltare manuellt söker fram statistik med olika sök kriterier exempelvis tid, avdelning, ärendedetalj och skapar rapporter i olika format.</t>
  </si>
  <si>
    <t>Visa hur systemförvaltare ställer in regelbundna utskick av statistik till en specifik grupp eller person, utifrån önskat tidsintervall</t>
  </si>
  <si>
    <t>Visa hur handläggare gör några sökningar på de vanligaste sökkriterierna (mailadress, telefonnummer och namn).</t>
  </si>
  <si>
    <t>Visa hur systemförvaltare tar fram statistik på ledtider och lösningsgrad hos Kontaktcenter</t>
  </si>
  <si>
    <t xml:space="preserve">Visa hur systemförvaltare tar fram en lista på förfallna ärenden i en avgränsad omfattning. Exempelvis för en enhet eller arbetsgrupp, eller baserat på klassificering. </t>
  </si>
  <si>
    <t xml:space="preserve">Börkrav
Värdering 1: </t>
  </si>
  <si>
    <t xml:space="preserve">Börkrav
Värdering 2: </t>
  </si>
  <si>
    <t>Bör krav  1 viktigast  (större avdrag på priset) 2 mindre viktigt</t>
  </si>
  <si>
    <t>Funktionella krav</t>
  </si>
  <si>
    <t>1.1</t>
  </si>
  <si>
    <t>Allmänt</t>
  </si>
  <si>
    <t>ID</t>
  </si>
  <si>
    <t>Krav</t>
  </si>
  <si>
    <t>Ska/bör</t>
  </si>
  <si>
    <t>Viktning</t>
  </si>
  <si>
    <t>Checkat</t>
  </si>
  <si>
    <t>Kommentar</t>
  </si>
  <si>
    <t>1.1.1</t>
  </si>
  <si>
    <t>Ska</t>
  </si>
  <si>
    <t>1.1.2</t>
  </si>
  <si>
    <t>1.1.3</t>
  </si>
  <si>
    <t>1.1.4</t>
  </si>
  <si>
    <t>1.1.5</t>
  </si>
  <si>
    <t>1.1.6</t>
  </si>
  <si>
    <t>1.1.7</t>
  </si>
  <si>
    <t>1.1.8</t>
  </si>
  <si>
    <t>1.1.9</t>
  </si>
  <si>
    <t>1.1.10</t>
  </si>
  <si>
    <t>1.1.11</t>
  </si>
  <si>
    <t>1.1.12</t>
  </si>
  <si>
    <t>Bör</t>
  </si>
  <si>
    <t>1.2</t>
  </si>
  <si>
    <t>Dokumenthantering</t>
  </si>
  <si>
    <t>1.2.1</t>
  </si>
  <si>
    <t>1.2.2</t>
  </si>
  <si>
    <t>1.2.3</t>
  </si>
  <si>
    <t>1.2.4</t>
  </si>
  <si>
    <t>1.2.6</t>
  </si>
  <si>
    <t>1.2.7</t>
  </si>
  <si>
    <t>1.2.8</t>
  </si>
  <si>
    <t>1.2.9</t>
  </si>
  <si>
    <t>1.2.10</t>
  </si>
  <si>
    <t>1.2.11</t>
  </si>
  <si>
    <t>Handlingar ska senast vid avslut av ärende kunna konverteras till arkivbeständiga filformat utan att tappa information.</t>
  </si>
  <si>
    <t>1.2.12</t>
  </si>
  <si>
    <t>1.2.15</t>
  </si>
  <si>
    <t>1.3</t>
  </si>
  <si>
    <t>E-post</t>
  </si>
  <si>
    <t>1.3.1</t>
  </si>
  <si>
    <t>1.3.2</t>
  </si>
  <si>
    <t>1.3.3</t>
  </si>
  <si>
    <t>1.4</t>
  </si>
  <si>
    <t>Sekretess</t>
  </si>
  <si>
    <t>1.4.1</t>
  </si>
  <si>
    <t>1.4.2</t>
  </si>
  <si>
    <t>1.4.3</t>
  </si>
  <si>
    <t>1.4.4</t>
  </si>
  <si>
    <t>1.4.5</t>
  </si>
  <si>
    <t>1.5</t>
  </si>
  <si>
    <t>Ärendehantering</t>
  </si>
  <si>
    <t>1.5.1</t>
  </si>
  <si>
    <t>1.5.2</t>
  </si>
  <si>
    <t>1.5.3</t>
  </si>
  <si>
    <t>1.5.4</t>
  </si>
  <si>
    <t>1.5.5</t>
  </si>
  <si>
    <t>1.5.7</t>
  </si>
  <si>
    <t>1.5.8</t>
  </si>
  <si>
    <t>1.5.9</t>
  </si>
  <si>
    <t>1.5.10</t>
  </si>
  <si>
    <t>1.5.11</t>
  </si>
  <si>
    <t>När ett delegationsbeslut upprättas ska det automatiskt tilldelas ett unikt beslutsnummer. Beslutsnummer ska omfatta innevarande år och numrering ske i löpande kronologisk ordning.</t>
  </si>
  <si>
    <t>1.5.12</t>
  </si>
  <si>
    <t>1.5.13</t>
  </si>
  <si>
    <t>1.5.14</t>
  </si>
  <si>
    <t>1.5.15</t>
  </si>
  <si>
    <t>1.5.16</t>
  </si>
  <si>
    <t>1.6</t>
  </si>
  <si>
    <t xml:space="preserve">Ärendevyer </t>
  </si>
  <si>
    <t>1.6.1</t>
  </si>
  <si>
    <t>1.6.2</t>
  </si>
  <si>
    <t>1.6.3</t>
  </si>
  <si>
    <t>1.6.4</t>
  </si>
  <si>
    <t>1.6.5</t>
  </si>
  <si>
    <t>1.6.6</t>
  </si>
  <si>
    <t>1.7</t>
  </si>
  <si>
    <t>Handläggning</t>
  </si>
  <si>
    <t>1.7.1</t>
  </si>
  <si>
    <t>1.7.2</t>
  </si>
  <si>
    <t>1.7.5</t>
  </si>
  <si>
    <t>1.7.6</t>
  </si>
  <si>
    <t>1.8</t>
  </si>
  <si>
    <t xml:space="preserve">Objektsvyer </t>
  </si>
  <si>
    <t>1.8.1</t>
  </si>
  <si>
    <t>1.8.2</t>
  </si>
  <si>
    <t>1.8.3</t>
  </si>
  <si>
    <t>1.8.4</t>
  </si>
  <si>
    <t>1.8.5</t>
  </si>
  <si>
    <t>1.9</t>
  </si>
  <si>
    <t>1.9.1</t>
  </si>
  <si>
    <t>1.9.3</t>
  </si>
  <si>
    <t>1.9.6</t>
  </si>
  <si>
    <t>1.9.7</t>
  </si>
  <si>
    <t>1.9.8</t>
  </si>
  <si>
    <t>1.10</t>
  </si>
  <si>
    <t>Mallar och checklistor</t>
  </si>
  <si>
    <t>1.10.1</t>
  </si>
  <si>
    <t>1.10.3</t>
  </si>
  <si>
    <t>1.11</t>
  </si>
  <si>
    <t>Tid och taxa</t>
  </si>
  <si>
    <t>1.11.1</t>
  </si>
  <si>
    <t>1.11.3</t>
  </si>
  <si>
    <t>1.11.4</t>
  </si>
  <si>
    <t>1.11.5</t>
  </si>
  <si>
    <t>1.11.6</t>
  </si>
  <si>
    <t>1.11.7</t>
  </si>
  <si>
    <t>1.11.9</t>
  </si>
  <si>
    <t>1.12</t>
  </si>
  <si>
    <t>Fakturering</t>
  </si>
  <si>
    <t>1.13</t>
  </si>
  <si>
    <t>Bevakning och notifiering</t>
  </si>
  <si>
    <t>Det ska finnas bevakningsfunktion som innebär att användare sätter en bevakning så att vald användare automatiskt får en notifiering på det datum som angetts i bevakningen.</t>
  </si>
  <si>
    <t xml:space="preserve">Flera bevakningar ska kunna utfärdas i ett och samma ärende. </t>
  </si>
  <si>
    <t xml:space="preserve">Det ska gå att gå in i ärenden via bevakningslistan.  </t>
  </si>
  <si>
    <t>1.14</t>
  </si>
  <si>
    <t>Sökfunktion</t>
  </si>
  <si>
    <t>Det ska från sökfunktion gå att navigera till valfri sökträff genom att i träfflistan välja en sökträff och direkt komma dit.</t>
  </si>
  <si>
    <t>1.15</t>
  </si>
  <si>
    <t>Fel- och varningsmeddelanden</t>
  </si>
  <si>
    <t>1.16</t>
  </si>
  <si>
    <t>Karta och fastighetsinformation</t>
  </si>
  <si>
    <t xml:space="preserve">I ärenden och objekt (anläggningar, verksamheter) ska fastighetens koordinater läggas in automatiskt. </t>
  </si>
  <si>
    <t xml:space="preserve">I ärenden och objekt (anläggningar, verksamheter) ska det gå att lägga in och/eller ändra koordinater. </t>
  </si>
  <si>
    <t>1.17</t>
  </si>
  <si>
    <t>Det ska gå att ändra angiven gallringstid på handling eller ärende.</t>
  </si>
  <si>
    <t>1.18</t>
  </si>
  <si>
    <t>E-tjänster</t>
  </si>
  <si>
    <t>E-tjänst ska informera dess användare om cookies samt begära samtycke eller godkännande att man lagrar informationer enlig gällande lagar (OUL, GDPR m m).</t>
  </si>
  <si>
    <t>1.19</t>
  </si>
  <si>
    <t>1.20</t>
  </si>
  <si>
    <t>Kapacitet</t>
  </si>
  <si>
    <t>2.</t>
  </si>
  <si>
    <t>Ickefunktionella krav</t>
  </si>
  <si>
    <t>Generella</t>
  </si>
  <si>
    <t>2.1.1</t>
  </si>
  <si>
    <t>2.1.2</t>
  </si>
  <si>
    <t>2.1.5</t>
  </si>
  <si>
    <t>2.1.6</t>
  </si>
  <si>
    <t>2.1.7</t>
  </si>
  <si>
    <t>2.1.8</t>
  </si>
  <si>
    <t>3.</t>
  </si>
  <si>
    <t>Informationssäkerhet - KLASSA</t>
  </si>
  <si>
    <t>#</t>
  </si>
  <si>
    <t>ISO kapitel</t>
  </si>
  <si>
    <t>ISO kravområde</t>
  </si>
  <si>
    <t>När ett nytt ärende registreras ska det automatiskt tilldelas ett unikt diarienummer. Diarienummer ska omfatta innevarande år och numrering ske i löpande kronologisk ordning.</t>
  </si>
  <si>
    <t>Objekt, fastigheter och intressenter/parter ska kunna kopplas till ärenden.</t>
  </si>
  <si>
    <t>Handlingar och händelser ska kunna öppnas från ärendevy.</t>
  </si>
  <si>
    <t>Ett ärendes samtliga kopplingar ska framgå. Minst kopplingar till: objekt (anläggning, verksamhet), fastigheter, adressater (intressenter/parter).</t>
  </si>
  <si>
    <t>Ärenden som är kopplade till objekt, ska kunna öppnas direkt från vy i objektet eller anläggning eller verksamhet.</t>
  </si>
  <si>
    <t>Det ska gå att konfigurera mallar så att de endast är tillgängliga för vissa typer av ärenden och/eller vissa typer av verksamheter/anläggningar.</t>
  </si>
  <si>
    <t>Det ska vara tvingande att ange om en registrerad tidspost är debiterbar eller inte.</t>
  </si>
  <si>
    <t>Flera avgiftsberäkningar ska kunna göras på samma ärende.</t>
  </si>
  <si>
    <t>En användare ska kunna tilldela sig själv och/eller någon annan en bevakning.</t>
  </si>
  <si>
    <t xml:space="preserve">Det ska i bevakningsfunktionen gå att ange:
• Bevakningsorsak
• Datum för när notifiering för bevakning ska ske
• Vilken användare som ska få notifieringen. </t>
  </si>
  <si>
    <t>Det ska gå att gallra flera ärenden och handlingar samtidigt.</t>
  </si>
  <si>
    <t>Det ska gå att ta fram data som möjliggör en sammanställning av ärenden som är färdiga till nämnd.</t>
  </si>
  <si>
    <t xml:space="preserve">Sökning ska kunna göras i såväl pågående/aktiva som avslutat material. </t>
  </si>
  <si>
    <t xml:space="preserve">Sökning ska kunna utföras med hjälp av s.k. boolesk sökning (och, eller, icke). </t>
  </si>
  <si>
    <t xml:space="preserve">Sökning ska kunna göras utan att användaren vet var uppgiften finns, t.ex. samsökning/snabbsökning av ärenden, dokument och övriga handlingar. </t>
  </si>
  <si>
    <t xml:space="preserve">Asterisk eller liknande wildcard ska kunna användas vid sökning. </t>
  </si>
  <si>
    <t>Leverantören ska beskriva hur loggning och spårbarhet av arkivering, åtkomster, avställning, gallring, statistik, sammanställningar och rapportering kan ske.</t>
  </si>
  <si>
    <t>Hämtning av aktuell fastighetsinformation ska kunna ske minst då nytt objekt (anläggning, verksamhet) och nytt ärende skapas samt vid förändring av befintliga objekt.</t>
  </si>
  <si>
    <t xml:space="preserve">Export till informationspaket för långtidsarkivering ska kunna utföras av Beställaren utan omfattande åtgärder och utan kostnad från leverantören. </t>
  </si>
  <si>
    <t>Konvertering av filer till arkivbeständigt format ska både kunna utföras manuellt för enstaka filer och automatiskt för större mängder filer.</t>
  </si>
  <si>
    <t>Diskutera med</t>
  </si>
  <si>
    <t>Webbläsarkompabilitet</t>
  </si>
  <si>
    <t>Kategori</t>
  </si>
  <si>
    <t>Det ska gå att få Leverantörens krav på processorkraft, internminne och diskkapacitet till systemlösningens serverplattform.</t>
  </si>
  <si>
    <t>Det ska gå att köra klienten eller en server på DMZ via en applikationsserver till databasen. Ej direkt till databas.</t>
  </si>
  <si>
    <t>Det ska gå att distribuera lokal klient via Microsoft System Center Configuration Manager.</t>
  </si>
  <si>
    <t>Det ska gå att få specifikation på produktnamn med version om systemet kräver 3:e partsprodukter.</t>
  </si>
  <si>
    <t>Webbaserad trafik ska använda TLS 1.2 eller senare.</t>
  </si>
  <si>
    <t>6001</t>
  </si>
  <si>
    <t>Leverantören ska för de delar av verksamheten som berörs i leveransen ha ett ledningssystem för informationssäkerhet (LIS) som baseras på SS-EN ISO/IEC27001:2022 eller motsvarande. Dessa dokument har godkänts och har kommunicerats till berörd personal och relevanta externa parter, samt ses över vartannat år och om betydande ändringar sker.</t>
  </si>
  <si>
    <t>5.1</t>
  </si>
  <si>
    <t>Policyer för informationssäkerhet</t>
  </si>
  <si>
    <t>6002</t>
  </si>
  <si>
    <t>Leverantören ska ha en dokumenterad organisation där roller och ansvar avseende informationssäkerhet är tydligt definierade.</t>
  </si>
  <si>
    <t>5.2</t>
  </si>
  <si>
    <t xml:space="preserve">Roller och ansvar för informationssäkerhet </t>
  </si>
  <si>
    <t>6007</t>
  </si>
  <si>
    <t>Leverantören ska bedriva ett kontinuerligt arbete för att samla in uppgifter om informationssäkerhetshot samt ta fram hotunderrättelser. Leverantören ska utan dröjsmål informera en utpekad kontaktpunkt hos beställaren om eventuella hot som kan påverka beställarens information, tjänster eller system.</t>
  </si>
  <si>
    <t>5.7</t>
  </si>
  <si>
    <t xml:space="preserve">Hotunderrättelser </t>
  </si>
  <si>
    <t>6010</t>
  </si>
  <si>
    <t xml:space="preserve">Leverantören ska ha dokumenterade regler, rutiner och roller som beskriver tillåten användning av de resurser som ingår i leveransen.
</t>
  </si>
  <si>
    <t>5.10</t>
  </si>
  <si>
    <t xml:space="preserve">Tillåten användning av information och andra relaterade tillgångar </t>
  </si>
  <si>
    <t>6017</t>
  </si>
  <si>
    <t>Leverantören ska för sin personal ha fastställda regler för hur autentiseringsinformation ska skyddas och hanteras. De delar av verksamheten som berörs av leveransen informeras om sitt ansvar att skydda och hantera sina inloggningsuppgifter.</t>
  </si>
  <si>
    <t>5.17</t>
  </si>
  <si>
    <t>Autentiseringsinformation
- Tilldelning av autentiseringsinformation
- Användaransvar
- System för lösenordshantering</t>
  </si>
  <si>
    <t>6021</t>
  </si>
  <si>
    <t>Leverantörens ansvar ska omfatta underleverantörer. Beställaren ska informeras om vilka underleverantörer som nyttjas.</t>
  </si>
  <si>
    <t>5.21</t>
  </si>
  <si>
    <t xml:space="preserve">Hantering av informationssäkerhet i IKT-leveranskedjan </t>
  </si>
  <si>
    <t>6022</t>
  </si>
  <si>
    <t>Beställaren ska årligen i samråd med leverantören ha rätt att genomföra säkerhetsrevisioner av ingående delar i leveransen.</t>
  </si>
  <si>
    <t>5.22</t>
  </si>
  <si>
    <t xml:space="preserve">Övervakning, granskning och ändringshantering av leverantörstjänster </t>
  </si>
  <si>
    <t>6031</t>
  </si>
  <si>
    <t>Leverantören ska löpande och i samråd med beställaren arbeta för att leveransen i alla lägen följer de aktuella lagar, förordningar, regler och föreskrifter som ställs på beställarens verksamhet.</t>
  </si>
  <si>
    <t>5.31</t>
  </si>
  <si>
    <t>Författningskrav och avtalskrav
- Allmänt
- Lagar och andra författningar
- Kryptering
- Avtal</t>
  </si>
  <si>
    <t>6032</t>
  </si>
  <si>
    <t>Leverantören ska begära tillstånd innan information i system (texter, bilder etc.) eller tjänster återanvänds i andra sammanhang.</t>
  </si>
  <si>
    <t>5.32</t>
  </si>
  <si>
    <t>Immateriella rättigheter</t>
  </si>
  <si>
    <t>6033</t>
  </si>
  <si>
    <t>Leverantören ska tillse att beställarens information skyddas mot förlust, destruktion, förfalskning, obehörig åtkomst och otillåten utgivning.</t>
  </si>
  <si>
    <t>5.33</t>
  </si>
  <si>
    <t>Skydd av verksamhetsinformation</t>
  </si>
  <si>
    <t>6034</t>
  </si>
  <si>
    <t>Leverantören ska utveckla och implementera regler för skydd av personuppgifter i enlighet med gällande lagar och förordningar, inklusive principerna om inbyggt dataskydd och dataskydd som standard. Dessa regler ska kommuniceras till alla medarbetare hos leverantören som berörs av leveransen och hanterar personuppgifter.</t>
  </si>
  <si>
    <t>5.34</t>
  </si>
  <si>
    <t>Integritet och skydd av personuppgifter</t>
  </si>
  <si>
    <t>6037</t>
  </si>
  <si>
    <t>Leverantören ska tillse att det finns dokumentation över informationssystem såsom användarmanualer och arkitekturdiagram. Dokumentationen ska vara tillgänglig för behörig personal i syfte att säkerställa:
- informationssystemets konfiguration, installation och drift
- effektiv användning av systemets säkerhetsfunktioner
- användarhantering och användarrättigheter
Dokumentationen hålls uppdaterad och ses över årligen eller vid större förändringar.</t>
  </si>
  <si>
    <t>5.37</t>
  </si>
  <si>
    <t>Dokumenterade driftsrutiner</t>
  </si>
  <si>
    <t>6063</t>
  </si>
  <si>
    <t>Leverantören ska tillse att tillgången till källkod för program begränsas. Förändringar i källkod kan härledas genom versionshantering och spårning.</t>
  </si>
  <si>
    <t>8.4</t>
  </si>
  <si>
    <t>Tillgång till källkod</t>
  </si>
  <si>
    <t>6064</t>
  </si>
  <si>
    <t>Leverantören ska tillse att åtkomst till informationstillgångar kräver flerfaktorsautentisering. Det finns regler för hur autentiseringsinformation får hanteras i system och av användaren.</t>
  </si>
  <si>
    <t>8.5</t>
  </si>
  <si>
    <t>Säker autentisering</t>
  </si>
  <si>
    <t>6065</t>
  </si>
  <si>
    <t>Leverantören ska övervaka resursanvändning och prestanda, samt ha funktioner, processer och rutiner för att övervaka och göra prognoser avseende framtida krav på systemprestanda.</t>
  </si>
  <si>
    <t>8.6</t>
  </si>
  <si>
    <t>Kapacitetshantering</t>
  </si>
  <si>
    <t>6069</t>
  </si>
  <si>
    <t>8.10</t>
  </si>
  <si>
    <t>Radering av information
- Allmänt
- Raderingsmetoder</t>
  </si>
  <si>
    <t>6074</t>
  </si>
  <si>
    <t>Leverantören ska tillse att information, tjänster och system har loggningsfunktioner för säkerhetsrelaterade händelser, minst för felaktiga inloggningar, förändring av behörigheter, otillåten anslutning samt överträdelser av behörigheter. Loggning ska ske i samråd med beställaren.
Leverantören ska skydda loggningsfunktioner och loggningsverktyg mot manipulation och obehörig åtkomst som även omfattar leverantörens personal.</t>
  </si>
  <si>
    <t>8.15</t>
  </si>
  <si>
    <t>Loggning
- Allmänt
- Skydd av loggar
- Logganalys</t>
  </si>
  <si>
    <t>6076</t>
  </si>
  <si>
    <t>Leverantören ska tillse system och kringliggande infrastruktur använder den svenska nationella tidsskalan UTC(SP) som källa för tid (t.ex. tidstjänsten Swedish Distributed Time Service på www.ntp.se).</t>
  </si>
  <si>
    <t>8.17</t>
  </si>
  <si>
    <t>Synkronisering av tid</t>
  </si>
  <si>
    <t>6084</t>
  </si>
  <si>
    <t>Leverantören ska ha regler för säker utveckling av program och system inom organisationen. Dessa regler omfattar bland annat system- och säkerhetstestning, t.ex. regressionstestning, kodskanning och penetrationstester.</t>
  </si>
  <si>
    <t>8.25</t>
  </si>
  <si>
    <t>Säker utvecklingscykel</t>
  </si>
  <si>
    <t>6085</t>
  </si>
  <si>
    <t>Leverantören ska identifiera och specificera informationssäkerhetskrav när applikationer utvecklas eller anskaffas. Detta kan ske i enlighet med Secure Software Development Lifecycle (SSDLC) eller motsvarande.</t>
  </si>
  <si>
    <t>8.26</t>
  </si>
  <si>
    <t>Säkerhetskrav för applikationer
- Allmänt
- Transaktionstjänster
- Applikationer för elektronisk beställning och betalning</t>
  </si>
  <si>
    <t>6086</t>
  </si>
  <si>
    <t>Leverantören ska ha fastställd dokumentation för säker systemutveckling och kontrollera att dessa efterlevs.</t>
  </si>
  <si>
    <t>8.27</t>
  </si>
  <si>
    <t>Säker systemarkitektur och tekniska principer</t>
  </si>
  <si>
    <t>6087</t>
  </si>
  <si>
    <t>Leverantören ska tillse att principer för säker kodning både vid nyutveckling och återanvändning av kod (dokumentation, parprogrammering, testdriven utveckling, kodgranskning m.m.) tillämpas.</t>
  </si>
  <si>
    <t>8.28</t>
  </si>
  <si>
    <t>Säker kodning
- Allmänt
- Planering och inför kodning
- Under kodning
- Översyn och underhåll</t>
  </si>
  <si>
    <t>6088</t>
  </si>
  <si>
    <t>Leverantören ska tillse att nya och uppdaterade informationssystem testas grundligt och verifieras under utvecklingsprocessen, inklusive utarbetandet av en detaljerad aktivitetsplan samt testning av indata och förväntad utdata under en rad villkor.</t>
  </si>
  <si>
    <t>8.29</t>
  </si>
  <si>
    <t>Säkerhetstestning i utveckling och acceptans</t>
  </si>
  <si>
    <t>6089</t>
  </si>
  <si>
    <t>Leverantören ska övervaka och styra systemutveckling som är utlagd till en underleverantör.</t>
  </si>
  <si>
    <t>8.30</t>
  </si>
  <si>
    <t>Utkontrakterad utveckling</t>
  </si>
  <si>
    <t>6091</t>
  </si>
  <si>
    <t>Leverantören ska ha en dokumenterad process för ändringshantering som tillämpas vid behov. Det finns även rutiner för att avbryta och återställa vid misslyckade ändringar. Testning ska utföras i en separat miljö för att minimera påverkan på produktionssystemen.</t>
  </si>
  <si>
    <t>8.32</t>
  </si>
  <si>
    <t>Ändringshantering</t>
  </si>
  <si>
    <t>6092</t>
  </si>
  <si>
    <t>Leverantören ska testa samtliga leveranser i separat testmiljö innan de införs i produktionsmiljö. Känslig information (bl.a. personuppgifter eller verksamhetskritisk information) ska inte kopieras in i utvecklings- och testmiljöer.</t>
  </si>
  <si>
    <t>8.33</t>
  </si>
  <si>
    <t>Testinformation</t>
  </si>
  <si>
    <t>6093</t>
  </si>
  <si>
    <t>Leverantören ska tillse att granskning och test av system planeras så att störningar på beställarens verksamhet minimeras.</t>
  </si>
  <si>
    <t>8.34</t>
  </si>
  <si>
    <t>Skydd av informationssystem under revisionstestning</t>
  </si>
  <si>
    <t>Efterlevnad av lagar m.m.</t>
  </si>
  <si>
    <t>Leverantören</t>
  </si>
  <si>
    <t>Tillgänglighet</t>
  </si>
  <si>
    <t>Systemlösningar</t>
  </si>
  <si>
    <t>Behörighet och åtkomst</t>
  </si>
  <si>
    <t>Användarvänlighet</t>
  </si>
  <si>
    <t>GDPR</t>
  </si>
  <si>
    <t>Automatisering</t>
  </si>
  <si>
    <t xml:space="preserve">Det ska gå att få en redogörelse för vilken servermiljö inkl. komponenter med versionsnummer som är optimal för systemlösningen. </t>
  </si>
  <si>
    <t>Anbudsgivaren ska redogöra för hur backup tas av systemlösningen (applikationen inkl. berörda komponenter). Backup ska gå att genomföra minst en gång per dygn.</t>
  </si>
  <si>
    <t>Det ska gå att få specifikation för hur databasen/databaserna konfigureras optimalt i er systemlösning.</t>
  </si>
  <si>
    <t>Det ska gå att få specifikation för hur backup bör tas av systemlösningens databas.</t>
  </si>
  <si>
    <t>Det ska gå att få specifikation för de hårdvarukrav (processorkraft, internminne, diskkapacitet, etc.) som föreslagen systemlösning ställer på klientdatorn</t>
  </si>
  <si>
    <t>Leverantören ska tillhandahålla systemdokumentation för det implementerade systemet i Borlänge kommun med tillhörande schematisk bild. I dokumentationen ska portar specificeras samt åt vilket håll kommunikationen sker. Installerade tjänster skall dokumenteras.</t>
  </si>
  <si>
    <t>Den REST API-profil som tagits fram av Myndigheten för Digital förvaltning (DIGG) bör följas (https://dev.dataportal.se/rest-api-profil).</t>
  </si>
  <si>
    <t>Samtliga era offererade system som är master för viss funktion eller data ska ha definierade och dokumenterade integrationsgränssnitt (Web Services, API).</t>
  </si>
  <si>
    <t>Kommuner använder totalt sett en inte alltför bred flora av verksamhetssystem, det bör därmed finnas stor potential att standardisera hantering av integrationer och data från dessa system. Redogör för hur ni arbetar för att standardisera integrationer mot kommunala verksamhetssystem samt bifoga en lista på system som ni redan har standardiserat integration mot.</t>
  </si>
  <si>
    <t xml:space="preserve">Vid uppdatering av årlig timtaxa ska den automatiskt uppdateras på berörda objekts/verksamheters/anläggnings årliga avgift. </t>
  </si>
  <si>
    <t>Planering, styrning och rapport</t>
  </si>
  <si>
    <t>Det ska finnas funktioner i IT-systemet för lagstadgad årlig rapportering till Livsmedelsverket. Data ska kunna tas ut digitalt och i sin helhet lämnas i de format som Livsmedelsverket kräver.</t>
  </si>
  <si>
    <t>IT-systemet ska följa Riksarkivets föreskrifter och allmänna råd när det gäller lagring, information, standarder, dokumentation m.m.</t>
  </si>
  <si>
    <t>Användare av IT-systemet ska kunna spara ner samtliga ärenden, handlingar, rapporter m.m. på en av användaren vald lagringsplats.</t>
  </si>
  <si>
    <t>IT-systemet ska innehålla de funktioner som krävs för att kunna göra en fullständig rapportering till EU eller statliga myndigheter genom uttag av data i det format som krävs av respektive myndighet.</t>
  </si>
  <si>
    <t>IT-systemet ska fråga om användaren vill spara gjorda registreringar eller förändringar när en vy stängs.</t>
  </si>
  <si>
    <t>Det ska finnas funktioner i IT-systemet som gör att av användare, valda händelser och handlingar i ett ärende går att sammanställa digitalt för att exportera, e-posta eller skriva ut.</t>
  </si>
  <si>
    <t>IT-systemet ska autospara pågående dokument. </t>
  </si>
  <si>
    <t>Inkommande och utgående e-post ska kunna sparas i IT-systemet och automatiskt metadatasättas enligt: mottagare, avsändare, ämne, avsändnings- resp. mottagningsdatum samt riktning (inkommen, expedierad/diarieförd). </t>
  </si>
  <si>
    <t>Det ska i IT-systemet gå att skapa, ändra och använda ett fritt antal egna mallar för kommunens e-postklient.</t>
  </si>
  <si>
    <t>IT-systemet ska ha funktion för att hantera uppgifter relaterade till individer med skyddade personuppgifter.</t>
  </si>
  <si>
    <t xml:space="preserve">I IT-systemet ska ärenden och handlingar kunna registreras och sparas. </t>
  </si>
  <si>
    <t xml:space="preserve">I IT-systemet ska filer kunna sparas i händelser. </t>
  </si>
  <si>
    <t>I IT-systemet ska händelser kunna registreras med eller utan handling.</t>
  </si>
  <si>
    <t>Samtliga handlingar ska automatiskt tilldelas digital stämpel i IT-systemet när de registreras som inkomna, upprättade samt vid expediering. Stämpeln ska innehålla datum, diarienummer och myndighetens namn.</t>
  </si>
  <si>
    <t>Handlingar som upprättats i IT-systemet ska gå att e-signera.</t>
  </si>
  <si>
    <t xml:space="preserve">I IT-systemet ska det tydligt framgå om en handling är arbetsmaterial eller allmän handling. Det ska även framgå om handlingen är inkommen eller expedierad.  </t>
  </si>
  <si>
    <t xml:space="preserve">IT-systemet ska ha funktioner för massutskick, där ett flertal adressater och e-postadressater får samma utskick i ett arbetsmoment. </t>
  </si>
  <si>
    <t xml:space="preserve">Händelser i IT-systemet ska automatiskt tilldelas unika händelsenummer i ärendet. Numrering ska ske i löpande kronologisk ordning. </t>
  </si>
  <si>
    <t>Det ska gå att i IT-systemet skapa ett ärende från ett objekt (verksamhet, anläggning) och från en fastighetsbeteckning. Metadata från objektet, fastigheten ska automatiskt följa med till ärendet.</t>
  </si>
  <si>
    <t>I IT-systemet ska varje livsmedelsanläggning automatiskt tilldelas ett unikt ID-nummer. </t>
  </si>
  <si>
    <t xml:space="preserve">IT-systemet ska ha funktioner (register, moduler eller liknande) för att i en vy visa uppgifter om objekt (verksamhet, anläggning). </t>
  </si>
  <si>
    <t>Det ska i IT-systemet finns fritextfält eller minnesanteckningar på objektet.</t>
  </si>
  <si>
    <t>Upprättade och expedierade dokument ska vara låsta i IT-systemet och bara kunna ändras av användare med särskild behörighet.</t>
  </si>
  <si>
    <t xml:space="preserve">Notifieringar ska ske i realtid i IT-systemet. </t>
  </si>
  <si>
    <t>I IT-systemet ska det finnas detaljerade sökfunktioner som möjliggör sökning från minst fastighet, anläggning/verksamhet, ärenden, handlingar, händelser och kontakter.</t>
  </si>
  <si>
    <t>IT-systemet ska automatiskt kunna hämta aktuell fastighetsinformation från fastighetsregister för användning i ärende och objekt (anläggning, verksamhet). Idag använder Borlänge kommun FIR och KID från Sokigo.</t>
  </si>
  <si>
    <t>IT-systemets integrerade karta ska kunna läsa en bakgrundskarta publicerad som en WMS och WFS ifrån av kommunen fritt valt IT-system.</t>
  </si>
  <si>
    <t>I IT-systemets kartfunktion ska det gå att se fasta installationer och objekt för att kunna planera tillsyn.</t>
  </si>
  <si>
    <t>I syfte att möjliggöra arkivering och gallring ska IT-systemet ha funktion för att genom metadata särskilja på handlingar. Handlingar som ska särskiljas genom metadata är minst: allmänna handlingar från arbetsmaterial, handlingar som innehåller personuppgifter från handlingar som inte gör det, sekretessbelagda från ej sekretessbelagda handlingar, olika myndigheters handlingar från varandra i gemensamma IT-stöd, handlingar som ska bevaras från handlingar som ska gallras samt handlingar med olika gallringsfrister.</t>
  </si>
  <si>
    <t>IT-systemet ska kunna generera rapporter som visar vad som har gallrats, vem som gallrat och när det gallrats (gallringsbevis).</t>
  </si>
  <si>
    <t>Efter att exporten har godkänts av e-arkivet ska den exporterade informationen tas bort ur IT-systemet, det vill säga gallras. I IT-systemet ska finnas funktion att skapa en lista med information som har gallrats samt kvittens med information om att export har genomförts.</t>
  </si>
  <si>
    <t>Vid konvertering ska IT-systemet ha funktionalitet för att urskilja och exkludera sådana filer som redan är i arkivbeständigt format, t.ex. PDF/A-filer, för att undvika att dessa konverteras om.</t>
  </si>
  <si>
    <t>IT-systemet ska följa Riksarkivets föreskrifter och allmänna råd om tekniska krav för elektroniska handlingar (RA-FS 2009:02).</t>
  </si>
  <si>
    <t>Vid konvertering ska IT-systemet kontrollera att konvertering utförs korrekt, för att säkerställa att kvaliteten har bibehållits och att ingen informationsförlust eller korruption har uppkommit. Leverantören ska, på begäran, beskriva vilka kontroller som görs för att säkerställa kvaliteten vid konvertering.</t>
  </si>
  <si>
    <t xml:space="preserve">Beställaren ska själv kunna utföra gallring i IT-systemet utan kostnad för beställaren. Gallring ska kunna genomföras av verksamheten utan inblandning av leverantören. </t>
  </si>
  <si>
    <t>Prestanda vid användning. IT-systemet ska svara snabbt vid normal användning.
Vanliga användaråtgärder (såsom menyval, sidbyte, inmatning och sparande) ska ha en svarstid på högst 1 sekund under normal driftmiljö (standarduppkoppling på 100 Mbit/s).</t>
  </si>
  <si>
    <t>Ändringar (inklusive konfigurationsförändringar) i IT-systemet ska loggas så att det framgår vad som ändrats, vem som gjort ändringar och när det skedde.</t>
  </si>
  <si>
    <t>Det ska finnas en dokumenterad behörighetsstyrning för hur användaridentiteter hanteras i IT-systemet. Identiteterna ska vara personliga och unika över tid.</t>
  </si>
  <si>
    <t>Digital post</t>
  </si>
  <si>
    <t>E-arkiv</t>
  </si>
  <si>
    <t xml:space="preserve">Det ska gå att lägga in användare och ge dem unika användaridentiteter med olika behörigheter i IT-systemet. </t>
  </si>
  <si>
    <t xml:space="preserve">Leverantören ska använda särskilda personliga användaridentiteter för priviligierade (högre) behörigheter som används för systemadministration. Dessa konton ska vara spårbara och lätta att skilja från vanliga användare. </t>
  </si>
  <si>
    <t>E-tjänsten ska vara integrerad mot IT-systemet. Ett ärende eller handling ska skapas i IT-systemet när kunden skickar sitt ärende genom e-tjänsten.</t>
  </si>
  <si>
    <t>E-tjänst ska uppfylla kraven på tillgänglighet i den europeiska standarden EN301549. Detta innebär att webbplatser och appar ska uppnå åtminstone nivå AA i version 2.1 av WCAG.</t>
  </si>
  <si>
    <t xml:space="preserve">Samtliga webbaserade gränssnitt ska vara fullt kompatibla med senaste versionen av webbläsare, vid upphandlingstillfället Edge eller Google Chrome. </t>
  </si>
  <si>
    <t>IT-systemet ska ha funktionalitet för utskick till digital myndighetsbrevlåda.</t>
  </si>
  <si>
    <t>Det ska gå att få fram rapport i IT-systemet eller rapportmodul för att leverera ärendesammanställning enligt Insikt/SBA/NKI.</t>
  </si>
  <si>
    <t>Leverantören är medveten om att Borlänge kommuns har avtal med andra leverantörer och är skyldig att säkerställa och tillgängliggöra information och data för att Borlänge kommun ska kunna integrera lösningen från Leverantören med andra leverantörers lösningar.</t>
  </si>
  <si>
    <t>För tillsyn ska minst anteckningar, checklista och fria anteckningar vara responsiva.</t>
  </si>
  <si>
    <t>Utbildning</t>
  </si>
  <si>
    <t>Externa integrationer</t>
  </si>
  <si>
    <t>Samtliga eventuella webbaserade gränssnitt och appar ska vara responsiva (responsive web design) så att de anpassar sig utefter den enhet som besökaren använder.</t>
  </si>
  <si>
    <t>Strukturella sammanhang, t ex ett sammanhållet ärende, ska kunna upprätthållas även vid export och arkivering av data.</t>
  </si>
  <si>
    <t>1.17.1</t>
  </si>
  <si>
    <t>1.17.2</t>
  </si>
  <si>
    <t>1.17.3</t>
  </si>
  <si>
    <t>1.17.4</t>
  </si>
  <si>
    <t>1.17.5</t>
  </si>
  <si>
    <t>1.17.6</t>
  </si>
  <si>
    <t>1.17.7</t>
  </si>
  <si>
    <t>1.17.8</t>
  </si>
  <si>
    <t>1.17.9</t>
  </si>
  <si>
    <t>1.17.10</t>
  </si>
  <si>
    <t>Lagar och regler m.m.</t>
  </si>
  <si>
    <t>Export ska kunna ske både inkrementellt, så att endast adderade, ändrade och raderade poster hanteras, och som en komplett tömning av IT-systemet.</t>
  </si>
  <si>
    <t>Det ska gå att välja vilka ärenden, händelser  och handlingar som ska exporteras. Det ska gå att massexportera, d.v.s. exportera flera ärenden och händelser i ett arbetsmoment.</t>
  </si>
  <si>
    <t xml:space="preserve">I IT-systemet bör ärenden kunna kopplas till valfritt antal objekt (verksamhet, anläggning) och valfritt antal fastigheter. </t>
  </si>
  <si>
    <t xml:space="preserve">I IT-systemet ska objekt (verksamhet, anläggning) som är inom miljönämndens tillsynsansvar kunna registreras och sparas. </t>
  </si>
  <si>
    <t>IT-systemet ska ha inbyggda funktioner för att kunna dokumentera objektstillsyn (verksamhet, anläggningar).</t>
  </si>
  <si>
    <t>Användare ska kunna sortera ärenden med avseende på status eller prioritet i handläggningen.</t>
  </si>
  <si>
    <t xml:space="preserve">Användare ska kunna flytta ärenden mellan fastigheter och mellan objekt (verksamhet, anläggningar).  </t>
  </si>
  <si>
    <t>För varje hälsoskyddsverksamhet ska minst följande framgå: 
• Fastighetsbeteckning 
• Verksamhetens namn, besöksadress, eventuellt id-nummer
• Intressent/part- och kontaktuppgifter samt organisationsnummer
• Verksamhetstyp, klassningskod, avgiftsklass
• Årlig avgift, årlig tillsynstid samt tillhörande justeringar
• Tillsynsintervall
• Status (aktivt/pågående, avslutat)
• Ärenden som hör till verksamheten
• Verksamhetstyp med tillhörande prövningsnivå, verksamhets- eller klassningskod, klassningstext, avgiftsgrupp
• För varje verksamhet ska minst tio antal verksamhetstyper och tillhörande uppgifter kunna visas</t>
  </si>
  <si>
    <t xml:space="preserve">Det ska gå att se alla ärenden, register (moduler eller liknande), intressenter (parter, adressater inklusive roll) som är kopplade till objektet (verksamheten, anläggningen). </t>
  </si>
  <si>
    <t xml:space="preserve">Det ska i IT-systemet gå att skapa, ändra och använda ett fritt antal egna mallar (bla. checklistor, inspektionsrapporter, skrivelser och beslut). </t>
  </si>
  <si>
    <t>IT-systemet ska gå att använda för registrering och diarieföring av handlingar, ärenden, objekt eller verksamheter som hanteras av miljönämnden i kommunen.</t>
  </si>
  <si>
    <t xml:space="preserve">Det ska gå att löpande registrera den tid i timmar och minuter som använts per händelse och aktivitet i ett ärende. </t>
  </si>
  <si>
    <t>IT-systemet ska ha funktioner för justering av avgiften för en individuellt objekt (verksamhet, anläggning). Den ska kunna justeras både procentuellt och med antalet timmar.</t>
  </si>
  <si>
    <t xml:space="preserve">Den tid som registreras i ett ärende ska kunna kopplas till mallar för bl.a. till faktureringsunderlag. </t>
  </si>
  <si>
    <t>Användare med särskild behörighet ska, utan hjälp av systemkonsult, kunna ändra debiteringsmodell, debiterings- och avgiftsberäkningsregler samt andra regler i styrsystemen.</t>
  </si>
  <si>
    <t>Avgiftsberäkningar ska kunna ske med grund i flera årstaxor.</t>
  </si>
  <si>
    <t>Bevakning</t>
  </si>
  <si>
    <t>Notifiering</t>
  </si>
  <si>
    <t xml:space="preserve">Bevakning ska ligga kvar till dess att tilldelad användare eller användare med anpassad behörighet åtgärdar eller tar bort bevakningen. </t>
  </si>
  <si>
    <t xml:space="preserve">Sökning på kombinationer av ord och intervaller (före/efter, fr.o.m./t.o.m.) ska kunna göras. </t>
  </si>
  <si>
    <t xml:space="preserve">Funktion för avancerad/utökad sökning ska finnas. </t>
  </si>
  <si>
    <t xml:space="preserve">Det ska gå att ändra gallringsbestämmelserna på ett enskilt dokument/övrig handling i efterhand, dvs. man ska kunna sätta en gallringsfrist på en handlingstyp nu och om gallringsfristen ändras i framtiden ska man kunna ändra fristen för att spegla reviderade versioner av beställarens dokumenthanteringsplan. </t>
  </si>
  <si>
    <t xml:space="preserve">Sökning bör kunna ske på senast öppnade respektive sparade dokument. </t>
  </si>
  <si>
    <t xml:space="preserve">Funktion för begränsning av antalet samtidigt visade sökträffar bör finnas. Leverantören ska, på begäran, beskriva hur ett orimligt antal sökträffar hanteras. </t>
  </si>
  <si>
    <t>1.21</t>
  </si>
  <si>
    <t>1.22</t>
  </si>
  <si>
    <t>1.1.13</t>
  </si>
  <si>
    <t>1.1.14</t>
  </si>
  <si>
    <t>1.1.15</t>
  </si>
  <si>
    <t>1.1.17</t>
  </si>
  <si>
    <t>1.1.18</t>
  </si>
  <si>
    <t>1.1.19</t>
  </si>
  <si>
    <t>1.1.20</t>
  </si>
  <si>
    <t>1.1.21</t>
  </si>
  <si>
    <t>1.1.22</t>
  </si>
  <si>
    <t>1.1.23</t>
  </si>
  <si>
    <t>1.1.24</t>
  </si>
  <si>
    <t>1.1.25</t>
  </si>
  <si>
    <t>1.1.26</t>
  </si>
  <si>
    <t>1.1.27</t>
  </si>
  <si>
    <t>1.1.28</t>
  </si>
  <si>
    <t>1.2.5</t>
  </si>
  <si>
    <t>1.2.13</t>
  </si>
  <si>
    <t>1.2.14</t>
  </si>
  <si>
    <t>1.2.16</t>
  </si>
  <si>
    <t>1.2.17</t>
  </si>
  <si>
    <t>1.2.18</t>
  </si>
  <si>
    <t>1.2.19</t>
  </si>
  <si>
    <t>1.2.20</t>
  </si>
  <si>
    <t>1.3.4</t>
  </si>
  <si>
    <t>1.3.5</t>
  </si>
  <si>
    <t>1.3.7</t>
  </si>
  <si>
    <t>1.4.6</t>
  </si>
  <si>
    <t>1.4.7</t>
  </si>
  <si>
    <t>1.5.17</t>
  </si>
  <si>
    <t>1.5.18</t>
  </si>
  <si>
    <t>1.5.19</t>
  </si>
  <si>
    <t>1.7.3</t>
  </si>
  <si>
    <t>1.7.4</t>
  </si>
  <si>
    <t>1.7.7</t>
  </si>
  <si>
    <t>1.7.8</t>
  </si>
  <si>
    <t>1.8.6</t>
  </si>
  <si>
    <t>1.8.7</t>
  </si>
  <si>
    <t>1.8.8</t>
  </si>
  <si>
    <t>1.9.5</t>
  </si>
  <si>
    <t>1.9.2</t>
  </si>
  <si>
    <t>1.9.4</t>
  </si>
  <si>
    <t>1.10.2</t>
  </si>
  <si>
    <t>1.10.4</t>
  </si>
  <si>
    <t>1.10.5</t>
  </si>
  <si>
    <t>1.10.6</t>
  </si>
  <si>
    <t>1.11.2</t>
  </si>
  <si>
    <t>1.11.8</t>
  </si>
  <si>
    <t>1.11.10</t>
  </si>
  <si>
    <t>1.11.11</t>
  </si>
  <si>
    <t>1.11.12</t>
  </si>
  <si>
    <t>1.11.13</t>
  </si>
  <si>
    <t>1.11.14</t>
  </si>
  <si>
    <t>1.11.15</t>
  </si>
  <si>
    <t>1.11.16</t>
  </si>
  <si>
    <t>1.11.17</t>
  </si>
  <si>
    <t>1.17.11</t>
  </si>
  <si>
    <t>1.17.12</t>
  </si>
  <si>
    <t>1.17.13</t>
  </si>
  <si>
    <t>1.17.14</t>
  </si>
  <si>
    <t>1.17.15</t>
  </si>
  <si>
    <t>1.17.16</t>
  </si>
  <si>
    <t>1.17.17</t>
  </si>
  <si>
    <t>1.17.18</t>
  </si>
  <si>
    <t>1.17.19</t>
  </si>
  <si>
    <t>1.17.20</t>
  </si>
  <si>
    <t>1.17.21</t>
  </si>
  <si>
    <t>1.17.22</t>
  </si>
  <si>
    <t>1.17.25</t>
  </si>
  <si>
    <t>1.17.26</t>
  </si>
  <si>
    <t>1.17.27</t>
  </si>
  <si>
    <t>1.17.28</t>
  </si>
  <si>
    <t>1.17.29</t>
  </si>
  <si>
    <t>1.17.30</t>
  </si>
  <si>
    <t>1.19.1</t>
  </si>
  <si>
    <r>
      <t xml:space="preserve">Export i godkänt format enligt </t>
    </r>
    <r>
      <rPr>
        <sz val="11"/>
        <color rgb="FFFF0000"/>
        <rFont val="Garamond"/>
        <family val="1"/>
      </rPr>
      <t>1.2.5</t>
    </r>
    <r>
      <rPr>
        <sz val="11"/>
        <color rgb="FF000000"/>
        <rFont val="Garamond"/>
        <family val="1"/>
      </rPr>
      <t xml:space="preserve"> ska kunna göras löpande, utan omfattande åtgärder, vid valfri tidpunkt och inom den egna driftorganisationen.</t>
    </r>
  </si>
  <si>
    <t>För varje livsmedelsanläggning ska minst följande framgå: 
• Fastighetsbeteckning
• Anläggningens namn, besöksadress, fastighetsbeteckning
• Intressent/part- och kontaktuppgifter och organisationsnummer  
• För varje anläggning ska uppgifter enligt Livsmedelsverkets riskklassningsmodell framgå, däribland uppgift om riskklass, kontrollfrekvens med tillhörande justeringar och certifieringar
• Status (aktivt/pågående, avslutat)
• Ärenden som hör till verksamheten/anläggningen</t>
  </si>
  <si>
    <t>För varje miljötillsynsverksamhet ska minst följande framgå: 
• Fastighetsbeteckning
• Verksamhetens namn, besöksadress, samt eventuellt id-nummer
• Intressent- och kontaktuppgifter och organisationsnummer
• Verksamhetstyp med tillhörande prövningsnivå, verksamhets- eller klassningskod, klassningstext, avgiftsgrupp
• Årlig avgift, årlig tillsynstid samt tillhörande justeringar
• För varje verksamhet ska minst tio antal verksamhetstyper och tillhörande uppgifter kunna visas
• Status (aktivt/pågående, avslutat)
• Tillsynsintervall
• Ärenden som hör till verksamheten</t>
  </si>
  <si>
    <r>
      <t>I notifieringen för bevakningen ska minst följande framgå automatiskt: 
• Angiven information enligt krav</t>
    </r>
    <r>
      <rPr>
        <sz val="11"/>
        <color rgb="FFFF0000"/>
        <rFont val="Garamond"/>
        <family val="1"/>
      </rPr>
      <t xml:space="preserve"> 1.13.4</t>
    </r>
    <r>
      <rPr>
        <sz val="11"/>
        <color rgb="FF000000"/>
        <rFont val="Garamond"/>
        <family val="1"/>
      </rPr>
      <t xml:space="preserve">
• Ärenderubrik och ev. händelse som bevakningen tillhör
• Ärendets diarienummer</t>
    </r>
  </si>
  <si>
    <t>1.20.1</t>
  </si>
  <si>
    <t>1.20.2</t>
  </si>
  <si>
    <t>1.18.1</t>
  </si>
  <si>
    <t>1.18.2</t>
  </si>
  <si>
    <t>1.18.3</t>
  </si>
  <si>
    <t>1.18.4</t>
  </si>
  <si>
    <t>1.18.5</t>
  </si>
  <si>
    <t>1.18.6</t>
  </si>
  <si>
    <t>1.18.7</t>
  </si>
  <si>
    <t>1.18.8</t>
  </si>
  <si>
    <t>1.16.1</t>
  </si>
  <si>
    <t>1.16.2</t>
  </si>
  <si>
    <t>1.16.3</t>
  </si>
  <si>
    <t>1.16.4</t>
  </si>
  <si>
    <t>1.16.5</t>
  </si>
  <si>
    <t>1.16.6</t>
  </si>
  <si>
    <t>1.16.7</t>
  </si>
  <si>
    <t>1.16.8</t>
  </si>
  <si>
    <t>1.16.9</t>
  </si>
  <si>
    <t>1.16.10</t>
  </si>
  <si>
    <t>1.16.11</t>
  </si>
  <si>
    <t>1.15.1</t>
  </si>
  <si>
    <t>1.15.2</t>
  </si>
  <si>
    <t>1.15.3</t>
  </si>
  <si>
    <t>1.15.4</t>
  </si>
  <si>
    <t>1.14.1</t>
  </si>
  <si>
    <t>1.14.2</t>
  </si>
  <si>
    <t>1.14.3</t>
  </si>
  <si>
    <t>1.14.4</t>
  </si>
  <si>
    <t>1.14.5</t>
  </si>
  <si>
    <t>1.14.6</t>
  </si>
  <si>
    <t>1.14.7</t>
  </si>
  <si>
    <t>1.14.8</t>
  </si>
  <si>
    <t>1.14.9</t>
  </si>
  <si>
    <t>1.14.10</t>
  </si>
  <si>
    <t>1.14.11</t>
  </si>
  <si>
    <t>1.14.12</t>
  </si>
  <si>
    <t>1.14.13</t>
  </si>
  <si>
    <t>1.14.14</t>
  </si>
  <si>
    <t>1.14.15</t>
  </si>
  <si>
    <t>1.13.1</t>
  </si>
  <si>
    <t>1.13.2</t>
  </si>
  <si>
    <t>1.13.3</t>
  </si>
  <si>
    <t>1.13.4</t>
  </si>
  <si>
    <t>1.13.5</t>
  </si>
  <si>
    <t>1.13.6</t>
  </si>
  <si>
    <t>1.13.7</t>
  </si>
  <si>
    <t>1.13.8</t>
  </si>
  <si>
    <t>1.13.9</t>
  </si>
  <si>
    <t>1.13.10</t>
  </si>
  <si>
    <t>1.13.11</t>
  </si>
  <si>
    <t>1.12.1</t>
  </si>
  <si>
    <t>1.12.2</t>
  </si>
  <si>
    <t>1.12.3</t>
  </si>
  <si>
    <t>1.12.4</t>
  </si>
  <si>
    <t>1.12.5</t>
  </si>
  <si>
    <t>1.12.6</t>
  </si>
  <si>
    <t>1.12.7</t>
  </si>
  <si>
    <t>1.12.8</t>
  </si>
  <si>
    <t>1.21.1</t>
  </si>
  <si>
    <t>1.21.2</t>
  </si>
  <si>
    <t>1.21.3</t>
  </si>
  <si>
    <t>1.21.4</t>
  </si>
  <si>
    <t>1.21.5</t>
  </si>
  <si>
    <t>1.22.1</t>
  </si>
  <si>
    <t>1.22.2</t>
  </si>
  <si>
    <t>1.22.3</t>
  </si>
  <si>
    <t>Varje användare ska kunna ha en vy där dennes pågående ärenden och bevakningar kan ses.</t>
  </si>
  <si>
    <t>IT-systemet ska vara digitalt och fungera med helt digital ärendehantering. D.v.s. ärenden ska kunna hanteras papperslöst från att det inkommer tills det avslutas och arkiveras.</t>
  </si>
  <si>
    <t>Det ska i IT-systemet gå att skapa, ändra och använda ett fritt antal egna mallar för MS Word, det vill säga sömlöst använda sig av mallar från MS Word utan att omformatera innehållet.</t>
  </si>
  <si>
    <t>Den sammanlagda tid eller avgift som ska faktureras i ett ärende ska kunna föras över till kommunens ekonomisystem för både intern och extern fakturering.</t>
  </si>
  <si>
    <t>1.8.9</t>
  </si>
  <si>
    <t>Ärenden ska kunna gallras helt eller delvis. Användare med särskild behörighet ska kunna markera ett eller flera ärenden vars gallringsbara information ska gallras (gallringsfrist).</t>
  </si>
  <si>
    <t>Markering för sekretess- och personuppgifter ska kunna översättas till följande nivåer: 
0 Ej sekretess 
1 Svag sekretess
2 Stark sekretess
0 Inga personuppgifter
1 Harmlösa personuppgifter
2 Integritetskänsliga personuppgifter</t>
  </si>
  <si>
    <t>Användare ska kunna lägga in intressenter/parter. Intressenter/part ska kunna läggas in i objekt, (verksamhet anläggning), ärende och händelse. För varje intressent/part ska minst följande kunna anges: 
• Intressentens/partens namn, adress, fakturaadress, 
• Intressentens/partens roll (bla fakturamottagare, juridisk person) och kontaktuppgifter (bla e-postadress och telefonnummer).
• Referensnummer, organisationsnummer, kundnummer.
För varje verksamhet ska minst tio intressenter med tillhörande uppgifter kunna visas.</t>
  </si>
  <si>
    <t>Felmeddelande ska kunna anges minst för:
• När användare försöker registrera felaktiga värden i fördefinierade fält.
• att det finns arbetsmaterial (ej är upprättat material) i ärenden som ska avslutas.</t>
  </si>
  <si>
    <t>Varningsmeddelanden ska kunna anges minst för:
• att det finns pågående ärenden eller bevakningar när man ändrar status på objekt.
• att det finns pågående bevakningar när man vill avsluta ärendet.</t>
  </si>
  <si>
    <t>Leverantören och samtliga underleverantörer ska ha sitt säte inom EU/EES, eller i länder som EU-kommissionen har godkänt adekvat skyddsnivå för. De tjänster och verktyg som erbjuds ska inte vara beroende av tjänster, funktioner och/eller komponenter utanför EU/EES.</t>
  </si>
  <si>
    <t>IT-systemet ska ha en kartfunktion antingen genom integration med kommuns kartsystem. Idag används FB-webb från Sokigo, arcGIS online och Portal for arcGIS eller genom egen karta. Efter årsskiftet 2025/2026 kommer kommunen gå över till Gaida.</t>
  </si>
  <si>
    <t>Information (minst koordinater) ur IT-systemet ska kunna hämtas och visas som en markering i kommunens karta. Idag används FB-webb från Sokigo (som tar in information från Arcgisonline och Field maps). Efter årsskiftet 2025/2026 kommer kommunen gå över till Gaida.</t>
  </si>
  <si>
    <t>Prismodellen för integrationsgränssnitt/API ska vara likadan/samma för alla integrationsgränssnitt, det är möjligt för er som leverantör att ta betalt för uppsättning, konfiguration och förvaltning av ett integrationsgränssnitt men slagningar/transaktioner gentemot integrationsgränssnittet ska alltid vara kostnadsfria.</t>
  </si>
  <si>
    <r>
      <t xml:space="preserve">Det ska gå att ta fram data som möjliggör tillsynsplanering för miljönämndens arbetsområden, som framgår i krav </t>
    </r>
    <r>
      <rPr>
        <sz val="11"/>
        <color rgb="FFFF0000"/>
        <rFont val="Garamond"/>
        <family val="1"/>
      </rPr>
      <t>1.8.9.</t>
    </r>
  </si>
  <si>
    <t>IT-systemet ska ha en kartfunktion där minst följande ska finnas: 
• Infrastruktur och byggnader
• Höjdkurvor
• Sjöar, vattendrag, skog, åkermark, industrimark, bebyggd mark
• Fastighetsbeteckning
• Adress
• Zoomningsfunktion
• Mätfunktion
• Fastighetsgränser</t>
  </si>
  <si>
    <t>Det ska kunna gå att skriva ut direkt från IT-systemet. Det innebär att alla rapporter, handlingar, ärenden m.m. ska kunna skrivas ut direkt från IT-systemet till en av användaren vald skrivare.</t>
  </si>
  <si>
    <r>
      <t xml:space="preserve">Det ska finnas en integrerad rättstavningsfunktion på svenska i det ordbehandlingsprogram som används i IT-systemet. Ordbehandlingsprogrammet </t>
    </r>
    <r>
      <rPr>
        <sz val="11"/>
        <rFont val="Garamond"/>
        <family val="1"/>
      </rPr>
      <t>ska som minst:</t>
    </r>
    <r>
      <rPr>
        <sz val="11"/>
        <color rgb="FF000000"/>
        <rFont val="Garamond"/>
        <family val="1"/>
      </rPr>
      <t xml:space="preserve"> 
- ha en avancerad stavningskontroll med hantering av språkliga särdrag (sammansatta ord, böjningsformer) som automatiskt identifiering av felstavade ord 
- ha en automatisk grammatikkontroll (felaktiga särskrivningar, böjningar m.m.)
- ha en stilkontroll (påpeka passiv form, upprepningar, långa meningar eller överdrivet formellt språk)
- ha ett synonymbibliotek
- kunna hantera egna ordlistor (t.ex. facktermer eller förkortningar)
Samtliga punkter ska vara på svenska.</t>
    </r>
  </si>
  <si>
    <t>Det ska i IT-systemet kunna gå att lägga in tjänsteanteckningar, minst i ärenden.</t>
  </si>
  <si>
    <r>
      <t xml:space="preserve">Det ska gå att utföra avancerad stavningskontroll med grammatik och stilkontroll samt synonymbibliotek på svenska, på dokument och mallar i IT-systemet. Se även krav </t>
    </r>
    <r>
      <rPr>
        <sz val="11"/>
        <color rgb="FFFF0000"/>
        <rFont val="Garamond"/>
        <family val="1"/>
      </rPr>
      <t>1.2.12.</t>
    </r>
  </si>
  <si>
    <t>Det ska framgå i IT-systemet om ärende, händelse och handling innehåller uppgifter med sekretess. Om verksamhet, objekt, ärende, händelse eller handling innehåller uppgifter som är markerad med sekretess ska användaren uppmärksammas på detta med markering, färg, symbol eller liknande funktion.</t>
  </si>
  <si>
    <t>Endast användare med särskild behörighet ska kunna läsa och redigera sekretessbelagda ärenden eller handlingar, utöver den ansvariga användaren på ärende eller handlingen med sekretess.</t>
  </si>
  <si>
    <t>Användare utöver den ansvarige användaren i ett ärende ska ha åtkomst till ärenden och kunna lägga till handlingar.</t>
  </si>
  <si>
    <r>
      <t xml:space="preserve">För varje ärende ska minst följande framgå:
• datum (start och avslut)
• diarienummer
• diarieplanbeteckning
• gallringsår
• handlingar
• användare
• händelser
• intressenter/parter
• sekretess
• status, med uppgift om: pågående, vilande, avslutat eller motsvarande
• tid (se krav </t>
    </r>
    <r>
      <rPr>
        <sz val="11"/>
        <color rgb="FFFF0000"/>
        <rFont val="Garamond"/>
        <family val="1"/>
      </rPr>
      <t xml:space="preserve">1.11.1 </t>
    </r>
    <r>
      <rPr>
        <sz val="11"/>
        <rFont val="Garamond"/>
        <family val="1"/>
      </rPr>
      <t>om nedlagd tid)
• ärenderubrik
• minst två externa beteckningar eller dylikt
• objekt eller anläggning när det finns
• fastighetsbeteckning när det finns</t>
    </r>
  </si>
  <si>
    <t>De händelser, handlingar som hör till ett ärende ska i IT-systemet finnas samlat, och ses på en (ärende)vy. För ärendevy ska minst följande framgå:
• Samtliga händelser, dess rubriker, datum, användare 
• Diarienummer,
• Om det finns handlingar kopplade till händelser
• Sekretess
• Bevakningar 
• Ärenderubrik</t>
  </si>
  <si>
    <t>Användare och/eller grupp ska uppmärksammas via notifiering, markering av ärenderad eller på annat sätt när det kommer in ett nytt ärende eller ny handling på ett ärende på minst handläggarnivå, oavsett hur ärendet eller handlingen läggs in i IT-systemet.</t>
  </si>
  <si>
    <t>Det ska gå att ta fram en rapport på genomförd tillsyn per användare/objektsregister/bransch.</t>
  </si>
  <si>
    <t>Sekretessmarkering ska kunna ändras av användare på ärendet eller handlingen samt av användare med särskild behörighet.</t>
  </si>
  <si>
    <t>IT-systemet ska tillåta att ett obegränsat antal ärenden är under behandling samtidigt.</t>
  </si>
  <si>
    <t>IT-systemet ska tillåta att flera användare läser ett ärende eller en handling samtidigt.</t>
  </si>
  <si>
    <t>IT-systemet ska kunna ta emot handlingar via central scanner i nätverk och lokalt ansluten scanner. </t>
  </si>
  <si>
    <t>Leverantören ska följa en överenskommen rutin som möjliggör för Beställaren att godkänna hantering (skapande, borttag, ändring) av utpekade behörighetsroller t.ex. avseende priviligierade (högre) behörigheter. Hanteringen ska vara spårbar.</t>
  </si>
  <si>
    <t>Det bör gå att via kartan välja en fastighet och se vilka ärenden som är aktiva där.</t>
  </si>
  <si>
    <t>Konsulttjänster</t>
  </si>
  <si>
    <t>Versionshantering</t>
  </si>
  <si>
    <t xml:space="preserve">Vid makulering ska utrymme finnas för att kunna ange orsak till makulering. </t>
  </si>
  <si>
    <t xml:space="preserve">Det ska gå att skapa standardiserade fraser i IT-systemet som kan nyttjas i skrivelser och/eller beslut. </t>
  </si>
  <si>
    <t>IT-systemet bör ha funktionalitet för både postala och digitala utskick genom Borlänge kommuns avtal med förmedlingsleverantör. Idag har Borlänge kommun avtal med Idata.</t>
  </si>
  <si>
    <t>Användare ska kunna ändra ordningen på händelser/handlingar i ett ärende.</t>
  </si>
  <si>
    <t>Viktning (av bör-krav) samt testfall</t>
  </si>
  <si>
    <t>Intern tillgänglighet</t>
  </si>
  <si>
    <t>IT-systemet ska följa och stödja SKRs kommande generiska API-specifikation för integration mellan verksamhetssystem och utskickstjänst.</t>
  </si>
  <si>
    <t>Det ska gå att välja ett eller flera ärenden eller objekt och välja att visa dem på kartan.</t>
  </si>
  <si>
    <t>IT-systemet bör uppmärksamma användare på när det finns pågående bevakningar och handlingar som inte är fastställda, vid avslut av ärende.</t>
  </si>
  <si>
    <t>Användare ska kunna ändra grafisk profil för mallar i IT-systemet. </t>
  </si>
  <si>
    <t xml:space="preserve">Ärenden ska kunna avslutas, och dokument och övriga handlingar ska kunna checkas in eller fastställas av användare med särskild behörighet även om dessa är låsta/skrivskyddade. </t>
  </si>
  <si>
    <t>Det ska gå att i IT-systemet, skicka ut och ta emot e-post inklusive bilagor till såväl extern som intern part. E-postmeddelande inklusive dess bilagor som registreras i IT-systemet ska behålla samma information och formatering (förutom den förändring som måste göras för att det ska bli arkivbeständigt).</t>
  </si>
  <si>
    <t>Dra-och-släpp-teknik eller liknande arbetsförenklande funktion ska finnas för att med enkla handgrepp förflytta (registrera) handlingar (indata) från kommunens e-postklient eller från filhanterare till IT-systemets olika ärenden, roller och delar. </t>
  </si>
  <si>
    <t>IT-systemet ska kunna hantera (skapa och designa) grupp- och/eller rollbaserade behörigheter. Om behörigheten ändras på en roll ska den slå igenom för alla som har den specifika gruppen/rollen. En grupp kan innehålla noll, en eller flera användare som har olika roller.</t>
  </si>
  <si>
    <t>Leverantören ska genomföra oåterkallelig radering av beställarens information enligt de tidsfrister som är avtalade. Om inga tidsfrister är avtalade ska radering ske senast 30 dagar efter avslutat avtal eller på skriftlig begäran av beställaren.
Informationen ska raderas på ett sätt som gör att den inte är möjlig att återställa.</t>
  </si>
  <si>
    <t>Leverantörens behörighet</t>
  </si>
  <si>
    <t>1.1.29</t>
  </si>
  <si>
    <t>1.1.30</t>
  </si>
  <si>
    <t>1.1.31</t>
  </si>
  <si>
    <t>1.1.32</t>
  </si>
  <si>
    <t>1.1.33</t>
  </si>
  <si>
    <t>1.2.21</t>
  </si>
  <si>
    <t>1.2.22</t>
  </si>
  <si>
    <t>1.2.23</t>
  </si>
  <si>
    <t>1.2.24</t>
  </si>
  <si>
    <t>1.5.20</t>
  </si>
  <si>
    <t>1.5.21</t>
  </si>
  <si>
    <t>1.5.22</t>
  </si>
  <si>
    <t>1.5.23</t>
  </si>
  <si>
    <t>1.5.24</t>
  </si>
  <si>
    <t>1.5.26</t>
  </si>
  <si>
    <t>1.5.27</t>
  </si>
  <si>
    <t>1.7.9</t>
  </si>
  <si>
    <t>1.7.10</t>
  </si>
  <si>
    <t>1.7.11</t>
  </si>
  <si>
    <t>1.8.10</t>
  </si>
  <si>
    <t>1.8.11</t>
  </si>
  <si>
    <t>1.8.12</t>
  </si>
  <si>
    <t>1.9.9</t>
  </si>
  <si>
    <t>1.9.10</t>
  </si>
  <si>
    <t>1.9.11</t>
  </si>
  <si>
    <t>1.9.12</t>
  </si>
  <si>
    <t>1.9.13</t>
  </si>
  <si>
    <t>1.9.14</t>
  </si>
  <si>
    <t>1.9.15</t>
  </si>
  <si>
    <t>1.9.16</t>
  </si>
  <si>
    <t>1.9.17</t>
  </si>
  <si>
    <t>1.10.7</t>
  </si>
  <si>
    <t>1.10.8</t>
  </si>
  <si>
    <t>1.17.23</t>
  </si>
  <si>
    <t>1.21.6</t>
  </si>
  <si>
    <t>1.21.7</t>
  </si>
  <si>
    <t>1.23</t>
  </si>
  <si>
    <t>1.24</t>
  </si>
  <si>
    <t xml:space="preserve">Vid eventuell felregistrering, t.ex. registrering av handling till fel ärende, ska användare med särskild behörighet/roll kunna låsa upp diarienummer, händelsenummer eller liknande för att flytta handlingen till rätt ärende. Detta ska synas i IT-systemet. Med ”synas” menas såväl visuellt synligt för användaren som synligt (spårbart) i loggen. </t>
  </si>
  <si>
    <t xml:space="preserve">Det bör gå att lägga till kopiemottagare vid e-postutskick från IT-systemet. Kopiemottagaren ska framgå och diarieföras i handlingarna på motsvarande sätt som den primära mottagaren. </t>
  </si>
  <si>
    <t xml:space="preserve">Användare med särskild behörighet ska kunna registrera ärenden på annat år än innevarande år. </t>
  </si>
  <si>
    <t>IT-systemet ska kunna styra behörigheter och roller. Ärenden med tillhörande handlingar ska kunna omfattas av olika behörigheter och roller/användargrupper.</t>
  </si>
  <si>
    <t xml:space="preserve">IT-systemet ska automatiskt ändra avgifter när ny timtaxa (handläggningsavgift/timme) lagts in i IT-systemet, t.ex. när timtaxan justeras i samband med ett årsskifte och medföljande indexjustering och/eller höjning av timtaxan. </t>
  </si>
  <si>
    <t>IT-systemet ska kunna hantera olika avgifter såsom periodiska avgifter, timavgifter, schablonavgifter samt olika avgifter för planerad, extra, händelsestyrd samt uppföljande kontroll/tillsyn.</t>
  </si>
  <si>
    <t>IT-systemet ska kunna hämta fakturamottagare från tillförda kontakter/initierare/parter på ett ärende.</t>
  </si>
  <si>
    <t xml:space="preserve">Fet klient: Systemet ska vid leverans kunna kopplas mot katalogtjänsten (Active Directory) med hjälp av LDAPS eller Kerberos. </t>
  </si>
  <si>
    <t xml:space="preserve">Från IT-systemet ska det gå att skicka e-post direkt från ärende. </t>
  </si>
  <si>
    <t>Svarstid för sökningar och rapporter enligt minst krav 1.14.1, 1.14.2 samt 1.21.5 ska vara max fem (5) sekunder vid uppkoppling till kommunens nät.</t>
  </si>
  <si>
    <t>Taxor inom miljönämndens arbetsområde ska kunna läsas in till IT-systemet.</t>
  </si>
  <si>
    <t>1.23.1</t>
  </si>
  <si>
    <t xml:space="preserve">IT-systemet ska ha en funktion för felmeddelande som är lätt att förstå och som visar användaren vad som saknas eller blivit felaktigt ifyllt. För att ett felmeddelande ska anses som ”lätt att förstå” ska felmeddelandet utryckas i klartext och på svenska. Leverantören ska, på begäran, beskriva lösning och komplettera med skärmdump eller liknande. </t>
  </si>
  <si>
    <t>Leverantören ska säkerställa att IT-systemet märker och särbehandlar sekretessärenden, sekretesshandlingar och dataskyddsreglerade uppgifter, på ett sådant sätt så att denna märkning och särbehandling följer med vid uttag för långtidsarkivering.</t>
  </si>
  <si>
    <t xml:space="preserve">Det ska gå att kräva manuell bekräftelse innan gallring genomförs. </t>
  </si>
  <si>
    <t xml:space="preserve">Borlänge kommuns grafiska profil ska kunna användas i de handlingar som skapas i IT-systemet. </t>
  </si>
  <si>
    <t>Leverantören bör kunna erbjuda konsultstöd som kan avropas för specialisstöd kring moderna och effektiva arbetssätt samt systemutveckling och integration.</t>
  </si>
  <si>
    <t>IT-systemet bör kunna manövreras med både knappar och kommandon, kortkommandon som komplement till att enbart använda scroll-mus/touchpad.</t>
  </si>
  <si>
    <t xml:space="preserve">Det ska gå att utan manuell mellanlagring i filstruktur eller liknande hämta in de filer som ska importeras till IT-systemet med dra-och-släpp-teknik eller motsvarande. Om det är "motsvarande" ska anbudsgivaren visa det. </t>
  </si>
  <si>
    <t xml:space="preserve">IT-systemet bör automatiskt vid årsskifte ändra nummerserierna att starta från nummer 1 och nytt år för ärenden, dokument och övriga handlingar. Detta bör även omfatta delegationsbeslut. </t>
  </si>
  <si>
    <t>IT-systemet ska varna om bifogade filer överskrider maxstorlek, innan utskick görs från systemet.</t>
  </si>
  <si>
    <t>Loggar som ska sparas längre än själva informationen ska vara självförklarande, d.v.s. vara oberoende av IT-systemets information för att kunna läsas och förstås.</t>
  </si>
  <si>
    <t>Det ska bland annat gå att få fram en rapport över:
• Bevakningar
• Fattade delegationsbeslut under en given tidsperiod
• Inkomna handlingar under en given tidsperiod
• Utgående handlingar under en given tidsperiod
• Pågående ärenden 
• Ärenden som ska till ett nämndssammanträde på ett visst datum
• Ärenden som avslutats och finns kvar i IT-systemet
• Samtliga ärenden på en fastighet  
• Anläggningar (verksamheter, objekt) där tillsynsområde, användare och årlig tillsynstid framgår för varje anläggning
• Planerad tillsyn 
• Debiterad respektive ej debiterad tid per handläggare
• Pågående och avslutade ärende per användare.</t>
  </si>
  <si>
    <t xml:space="preserve">Leverantören ska, på begäran, bifoga en utbildningsplan för Beställarens olika användargrupper. Planen ska övergripande beskriva innehåll och omfattning. Antal utbildningstimmar/dagar per målgrupp ska anges. Inbokning av utbildning och workshops som kräver förberedande insatser av och hos Beställaren ska göras med minst 14 dagars framförhållning. </t>
  </si>
  <si>
    <t>I webbaserade delar ska IT-systemet vid leverans kunna kopplas till en IdP (Identity Provider) med minst SAML 2.0 standarden eller OpenID Connect utan extra utveckling, kostnad eller vara förknippad med någon månadskostnad.</t>
  </si>
  <si>
    <t>Det ska gå att föda IT-systemet automatiskt med användare från katalogtjänsten AD med hjälp av LDAP, API eller via csv-fil.</t>
  </si>
  <si>
    <t>Det ska gå att köra IT-systemet på Windows Server 2022 och senare versioner eller Ubuntu Linux 22.04 eller senare.</t>
  </si>
  <si>
    <t>Det ska gå att köra IT-systemet virtuellt, baserat på VMware 8.x och senare versioner.</t>
  </si>
  <si>
    <t>Det ska gå att IT-systemet fungerar utan högre rättigheter än för DBowner i databasen.</t>
  </si>
  <si>
    <t>Det bör finnas en rättstavningsfunktion på svenska vid användning av IT-systemets e-postsutskicksfunktion.</t>
  </si>
  <si>
    <t>Vid makulering av ärenden/handlingar ska dessa markeras så det syns i användargränssnittet. Använd beteckning (diarienummer, löpnummer, handlingsnummer eller dylikt) ska inte kunna användas igen. Filer i handlingar som makuleras ska förstöras på samma sätt som vid gallring. Makulerat material ska synas i loggen.</t>
  </si>
  <si>
    <t>IT-systemet ska kunna hantera register för objektstyper nedan:
• cisterner
• dricksvatten
• enskilda avlopp
• hälsoskydd
• köldmedier
• livsmedel
• miljöfarliga verksamheter
• radon
• kontaktmaterialverksamheter
• växtskyddsmedel
• förorenad mark</t>
  </si>
  <si>
    <t xml:space="preserve">Träfflista/sökresultat ska kunna exporteras till textfil samt till Microsoft Word och Microsoft Excel. </t>
  </si>
  <si>
    <t>Sökresultatet ska presenteras i en träfflista.</t>
  </si>
  <si>
    <t>Leverantören ska kunna styrka följsamhet av nyutvecklad funktionalitet genom en rapport från en Accessibility Checker med inställningen WCAG 2.1 nivå AA.</t>
  </si>
  <si>
    <t>1.25</t>
  </si>
  <si>
    <t>1.1.34</t>
  </si>
  <si>
    <t>1.1.35</t>
  </si>
  <si>
    <t>1.1.36</t>
  </si>
  <si>
    <t>1.9.18</t>
  </si>
  <si>
    <t>1.9.19</t>
  </si>
  <si>
    <t>1.24.4</t>
  </si>
  <si>
    <t>1.25.1</t>
  </si>
  <si>
    <t>1.6.7</t>
  </si>
  <si>
    <t xml:space="preserve">Användare med särskild behörighet ska kunna skapa ärendetyper i IT-systemet och koppla dessa till visst diarium. </t>
  </si>
  <si>
    <t xml:space="preserve">Användare med särskild behörighet ska kunna skapa handlingstyper i IT-systemet och koppla dessa till visst diarium. </t>
  </si>
  <si>
    <t>Användare i IT-systemet ska kunna ha flera/olika roller och behörigheter.</t>
  </si>
  <si>
    <r>
      <t>Användare med särskild behörighet ska kunna lägga in, ändra och ta bort användare, ge och ändra användaridentiteter och olika behörigheter i IT-systemet samt kunna ta fram uppgifter över detta. Se äve</t>
    </r>
    <r>
      <rPr>
        <sz val="11"/>
        <color rgb="FFFF0000"/>
        <rFont val="Garamond"/>
        <family val="1"/>
      </rPr>
      <t>n 1.4.4.</t>
    </r>
  </si>
  <si>
    <t xml:space="preserve">Användare med särskild behörighet ska kunna skapa och ändra förutbestämda ärendemeningar och händelserubriker i IT-systemet. </t>
  </si>
  <si>
    <t>Användare ska kunna redigera vem som är användare på ärenden och händelser i IT-systemet.</t>
  </si>
  <si>
    <t>Användare med särskild behörighet ska kunna låsa upp avslutade ärenden (exklusive ärenden skickade till slutarkiv), färdigställda handlingar och dokument i IT-systemet.</t>
  </si>
  <si>
    <t>Användare med särskild behörighet ska kunna makulera ärenden, handlingar, händelser och registeruppgifter i IT-systemet.</t>
  </si>
  <si>
    <t>I IT-systemet ska ansvarig användare kunna väljas för ett ärenden.</t>
  </si>
  <si>
    <r>
      <t>Användare ska kunna ha flera vyer (flikar eller fönster) öppna samtidigt och jobba aktivt i dessa parallellt, oavsett var man befinner sig i ärendet/objektet/annat.</t>
    </r>
    <r>
      <rPr>
        <sz val="11"/>
        <color rgb="FFFF0000"/>
        <rFont val="Garamond"/>
        <family val="1"/>
      </rPr>
      <t xml:space="preserve"> </t>
    </r>
  </si>
  <si>
    <t>IT-systemet ska ha funktionalitet för att bifoga foton som tas med telefon eller surfplatta under ett tillsynsbesök i ett tillsynsärende. 
Leverantör ska på begäran visa detta på ett sätt som identiskt återspeglar skarp användning.</t>
  </si>
  <si>
    <t xml:space="preserve">Det ska gå att från IT-systemet att skapa fakturaunderlag för årliga avgifter, timavgifter och fasta avgifter. Det ska kunna ske från objekt (verksamhet, anläggningar), ärenden och handling eller händelse. </t>
  </si>
  <si>
    <t>Statistik och uppföljning ska kunna presenteras i grafisk form från IT-systemet.</t>
  </si>
  <si>
    <t>Användare</t>
  </si>
  <si>
    <t>Användare med särskild behörighet</t>
  </si>
  <si>
    <t>Kund</t>
  </si>
  <si>
    <t>Samtliga handläggare och anställda på kommunen som har behörighet att utföra miljöenhetens arbetsuppgifter.</t>
  </si>
  <si>
    <t>Superuser, superanvändare med fullständiga adminstrativa rättigheter över hela IT-systemet på miljöenheten på kommunen. Omfattande tillgång till alla filer, kommandon och inställningar och används främst för administration och underhåll av IT-systemet.</t>
  </si>
  <si>
    <t xml:space="preserve">Kommuninvånare som externt indirekt nyttjar IT-systemet, t.ex. via e-tjänst. </t>
  </si>
  <si>
    <t>Arkivering och gallring</t>
  </si>
  <si>
    <t xml:space="preserve">Användare med särskild behörighet ska, i IT-systemet, kunna konfigurera metadatafält så att de blir obligatoriska. </t>
  </si>
  <si>
    <t xml:space="preserve">Obligatoriska fält bör ha en hjälptext med förklaring där det framgår hur fältet ska fyllas i för att vara korrekt, t.ex. hur ett organisationsnummer ska se ut för att vara korrekt ifyllt. </t>
  </si>
  <si>
    <t>Det ska gå att köra IT-systemets databas i MS SQL Server 2022 och senare versioner.</t>
  </si>
  <si>
    <t>I IT-systemet ska det gå att ta fram data som möjliggör tillsynsplanering av objekt, anläggningar och område/bransch/kategori.</t>
  </si>
  <si>
    <t>Massexport av systemets informationsmängder eller export av delar av systemets informationsmängder  ska enbart kunna genomföras av användare med behörighet. Denna behörighet regleras av användare med särskild behörighet.</t>
  </si>
  <si>
    <t>I IT-systemet bör det gå att flytta och kopiera valda handlingar mellan ärenden via IT-systemets användargränssnitt, t.ex. med dra- och släpp, förutsatt att behörighet medger det. Det ska inte krävas mellanlagring av handlingarna utanför IT-systemet.</t>
  </si>
  <si>
    <t>Användare ska kunna ändra ärendestatus.</t>
  </si>
  <si>
    <t>Användare bör kunna bestämma riktning (t.ex. in eller ut) på en handling.</t>
  </si>
  <si>
    <t>Mallar bör automatiskt kunna hämta data från delegationspunkt i delegationsordning.</t>
  </si>
  <si>
    <t>I IT-systemet ska man kunna se när årsdebitering har skickats ut på varje objekt.</t>
  </si>
  <si>
    <t>Debiterbar nedlagd tid ska automatiskt summeras baserat på den timtaxa som gäller för respektive debiteringspost/händelse. Detta betyder att IT-systemet i ärenden som handlagts under perioder med olika timtaxa ska räkna ut korrekt kostnad baserat på den timavgift som gällde när den nedlagda tiden för händelsen registrerades.</t>
  </si>
  <si>
    <t>Det bör gå att i bevakningsfunktionen ange bevakningsorsak enligt fördefinierade orsaker.</t>
  </si>
  <si>
    <t xml:space="preserve">Träfflistan ska kunna filtreras på samtliga metadatafält. </t>
  </si>
  <si>
    <t>1.3.6</t>
  </si>
  <si>
    <t>1.5.6</t>
  </si>
  <si>
    <t>1.5.25</t>
  </si>
  <si>
    <t>1.7.12</t>
  </si>
  <si>
    <t>1.17.24</t>
  </si>
  <si>
    <r>
      <t>På samtliga händelser ska minst följande kunna framgå:
• datum
• uppgift om delegationsbeslut (delegationsbeslutsnummer)
• användare
• handlingar kopplade till händelsen
• händelsenummer
• händelserubrik
• av användare på ärende valbar riktning (in, ut)
• sekretess
• status (se krav</t>
    </r>
    <r>
      <rPr>
        <sz val="11"/>
        <color rgb="FFFF0000"/>
        <rFont val="Garamond"/>
        <family val="1"/>
      </rPr>
      <t xml:space="preserve"> 1.5.9</t>
    </r>
    <r>
      <rPr>
        <sz val="11"/>
        <color rgb="FF000000"/>
        <rFont val="Garamond"/>
        <family val="1"/>
      </rPr>
      <t xml:space="preserve"> om upprättat, arbetsmaterial, expedierat, inkommet)
• tid som nedlagts</t>
    </r>
  </si>
  <si>
    <t>testfall 1</t>
  </si>
  <si>
    <t>IT-systemet, inklusive samtliga komponenter som exempelvis pdf-sammanställningar, ska uppfylla krav på tillgänglighet enligt EU:s webbtillgänglighetsdirektiv samt följa DIGG:s föreskrifter för tillgänglig offentlig service och lagen om tillgänglighet för digital offentlig service. Se länkar nedan för WCAG standard. Medvetna kompromisser eller avsteg kan göras efter samråd med beställaren. Avstegen bör motiveras och dokumenteras. 
För mer information se: 
•https://webbriktlinjer.se/ och https://webbriktlinjer.se/wcag/
•https://www.digg.se/digital-tillganglighet/om-lagen</t>
  </si>
  <si>
    <t>Testfall 1</t>
  </si>
  <si>
    <r>
      <t xml:space="preserve">Det ska gå att köra systemet på klienter baserat på </t>
    </r>
    <r>
      <rPr>
        <sz val="11"/>
        <rFont val="Garamond"/>
        <family val="1"/>
      </rPr>
      <t xml:space="preserve">MS Windows 11 </t>
    </r>
    <r>
      <rPr>
        <sz val="11"/>
        <color rgb="FF000000"/>
        <rFont val="Garamond"/>
        <family val="1"/>
      </rPr>
      <t>och senare versioner.</t>
    </r>
  </si>
  <si>
    <t>E-tjänsten bör vara kopplad till driften i IT-systemet.
E-tjänsten bör integreras mot IT-systemet i största möjligaste mån. Exempelvis att när ett ärende skickas in via e-tjänsten skapas ett ärende i IT-systemet och uppgifter från e-tjänsten läggs in i motsvarande fält i IT-systemet.</t>
  </si>
  <si>
    <t>IT-systemet bör visa status av utförda och pågående integrationer och bearbetningar.</t>
  </si>
  <si>
    <t>IT-systemet bör ha funktionalitet som kan konvertera dessa format till blankstegsformaterad fil, alternativt att sådan konvertering kan lösas via tillägg eller integration.</t>
  </si>
  <si>
    <t>Vid export till e-arkiv ska filer och bilagor kunna förstås och separeras och inte vara beroende av en mappstruktur. Informationen ska vara beskriven, dokumenterad och tolkbar utan krav på speciellt systemstöd från leverantören.</t>
  </si>
  <si>
    <t>2.1.3</t>
  </si>
  <si>
    <t>2.1.4</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</si>
  <si>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</si>
  <si>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</si>
  <si>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</si>
  <si>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</si>
  <si>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</si>
  <si>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</si>
  <si>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</si>
  <si>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</si>
  <si>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</si>
  <si>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</si>
  <si>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</si>
  <si>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</si>
  <si>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</si>
  <si>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</si>
  <si>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</si>
  <si>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</si>
  <si>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</si>
  <si>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</si>
  <si>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</si>
  <si>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</si>
  <si>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</si>
  <si>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</si>
  <si>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</si>
  <si>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</si>
  <si>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</si>
  <si>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</si>
  <si>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Ändringsdokumentation (changelog) och releasenotes ska produceras löpande i samband med leverans av ändringar och nya funktioner.</t>
  </si>
  <si>
    <t xml:space="preserve">Leverantören ska beakta IT-systemets interna tillgänglighet vid nyutveckling och uppdateringar av IT-systemet. Som minst ska effekt av inzoomning på positioner av menyer, knappar och pilar, samt gränssnitt, typsnitt och färgsättning, för  t.ex. användare med synnedsättning, beaktas. </t>
  </si>
  <si>
    <t>Det ska finnas en aktiv användarförening för det IT-system som anbudet avser som har varit aktiv inom de senaste tolv månaderna.</t>
  </si>
  <si>
    <t>Det ska finnas funktioner i IT-systemet som gör att användare digitalt kan sammanställa minst ett valt ärende, med  tillhörande valda handlingar och händelser, för att exportera, e-posta eller skriva ut.</t>
  </si>
  <si>
    <t>Metadata för foton bör automatiskt sparas i systemet. Handläggare bör kunna spara ner eller sammanställa denna metadata till en fil, som minst GPS-koordinater och datum. Redogör för vilka lösningar systemet har idag och vad som planeras i närtid.</t>
  </si>
  <si>
    <t xml:space="preserve">IT-systemet bör ha automatisk kontroll av obligatoriska fält, som minst vid registrering av ärende eller handling. </t>
  </si>
  <si>
    <t>Det bör gå att samtidigt flytta flera bevakningar till en annan användare, d.v.s. massändra handläggare på bevakningar.</t>
  </si>
  <si>
    <t xml:space="preserve">IT-systemet ska ha automatiserade processer och/eller funktioner för olika steg i ärendehanteringen för att minimera manuell hantering för användare. </t>
  </si>
  <si>
    <t>I IT-systemet ska man kunna relatera objekt (verksamhet, anläggning) till andra objekt (verksamhet, anläggning) samt relatera ärenden till andra ärenden.</t>
  </si>
  <si>
    <t>1.1.16</t>
  </si>
  <si>
    <t>1.2.25</t>
  </si>
  <si>
    <t>1.13.12</t>
  </si>
  <si>
    <t>Mallarna ska automatiskt kunna hämta data från olika fält i IT-systemet, för överföring av data från IT-systemet till dokument. Detta ska omfatta minst följande:
• Intressent/partsuppgifter (namn, adress, organisationsnummer)
• Ärendeuppgifter (fastighetsbeteckning, ärenderubrik, diarienummer)
• Beslutsnummer
• Klassningsuppgifter (minst klassningskod, tillsynstid, reducering av tillsynstid)
• Klassningsuppgifter för livsmedels- och dricksvattenanläggningar enligt Livsmedelsverkets riskklassningsmodell
• Tid (debiterbar och ej debiterbar tid som lagts ner i ett ärende)
• Lagstiftningsområden från livsmedelskontroll som möjliggör koppling till mall från Livsmedelsverket</t>
  </si>
  <si>
    <r>
      <t xml:space="preserve">Det ska gå att söka ut bevakningar. I listan ska framgå samtliga uppgifter som framgår i krav </t>
    </r>
    <r>
      <rPr>
        <sz val="11"/>
        <color rgb="FFFF0000"/>
        <rFont val="Garamond"/>
        <family val="1"/>
      </rPr>
      <t>1.13.6.</t>
    </r>
  </si>
  <si>
    <t>Testfall 3</t>
  </si>
  <si>
    <t>Testfall 4</t>
  </si>
  <si>
    <t>Testfall 6</t>
  </si>
  <si>
    <t>Testfall 7</t>
  </si>
  <si>
    <t>Testfall 5</t>
  </si>
  <si>
    <t>Testfall 8</t>
  </si>
  <si>
    <t>Testfall 9</t>
  </si>
  <si>
    <t>Testfall 10</t>
  </si>
  <si>
    <r>
      <t xml:space="preserve">Användare med särskild behörighet ska kunna ställa in de förinställda reglerna gällande automatiserad processtyrning enligt </t>
    </r>
    <r>
      <rPr>
        <sz val="11"/>
        <color rgb="FFFF0000"/>
        <rFont val="Garamond"/>
        <family val="1"/>
      </rPr>
      <t>1.22.2.</t>
    </r>
  </si>
  <si>
    <t>Det ska finnas ramverk i IT-systemet som möjliggör integration mot andra applikationer. Ramverk för integration ska vara öppna, väl dokumenterade, och följa icke proprietär standard samt kunna hantera integrationer via REST, SOAP, JMS, SFTP. Idag använder kommunen REST.</t>
  </si>
  <si>
    <t>Det ska finnas en funktion som gör att användare kan jobba ute, vid ett tillsynsbesök/kontroll, och kunna föra anteckningar och skapa protokoll i IT-systemet. Inspektören ska inte behöva ta med sin dator utan kunna göra detta via telefon eller surfplatta. All dokumentation som sker ute i fält ska i första hand lagras i IT-systemet och i andra hand lokalt till dess internetanslutning finns. Överföringen till IT-systemet ska ske per automatik. 
Leverantör ska på begäran visa detta på ett sätt som identiskt återspeglar skarp användning.</t>
  </si>
  <si>
    <t>Leverantörens behörigheter ska tilldelas enligt principen där minsta möjliga behörighet tilldelas utifrån användares roll och arbetsuppgifter. Detta gäller även konton som används vid kommunikation mellan systemkomponenter, exempelvis mellan applikation och databas samt priviligierade konton.</t>
  </si>
  <si>
    <t>Det ska i IT-systemet gå att skapa en handling som sammanställer all nedlagd tid i ett ärende, fördelat på debiterbar, ej debiterbar, debiterad respektive ej debiterad tid. Datum för respektive tidpost ska framgå. Detta i syfte att kommunicera nedlagd tid till en intressent/part i ett ärenden, exempelvis sökande.</t>
  </si>
  <si>
    <t>IT-systemet ska visa för användaren att något pågår t.ex. vid bearbetning och inväntande av information.</t>
  </si>
  <si>
    <t>I IT-systemet ska det gå att använda TAB-tangent för att kunna hoppa mellan inmatningsfälten i en logisk följd.</t>
  </si>
  <si>
    <t>All text i IT-systemet ska vara på svenska, vilket innebär att bl.a. menyer, knappar, dialoger, felmeddelanden, användargränssnitt och hjälpfunktioner ska vara utformat och författat på svenska. Likaleledes ska tillhörande dokumentation samt utbildningsmaterial gentemot slutanvändare och liknande vara utformat och författat på svenska, med undantag för vissa vedertagna facktermer som kan vara på engelska. </t>
  </si>
  <si>
    <t>I IT-systemet ska inmatningar i fält bl.a. metadatafält styras av förval, t.ex. genom rullgardinsmenyer.</t>
  </si>
  <si>
    <t>Datum och klockslag i IT-systemet ska visas enligt svensk standard (åååå-mm-dd resp tt.mm).</t>
  </si>
  <si>
    <r>
      <t>Samtliga ärenden (inklusive dess handlingar) ska kunna exporteras från IT-systemet. Beställaren ska vid export kunna välja omfattningen av exporten genom urval,</t>
    </r>
    <r>
      <rPr>
        <sz val="11"/>
        <color rgb="FFFF0000"/>
        <rFont val="Garamond"/>
        <family val="1"/>
      </rPr>
      <t xml:space="preserve"> </t>
    </r>
    <r>
      <rPr>
        <sz val="11"/>
        <rFont val="Garamond"/>
        <family val="1"/>
      </rPr>
      <t>exempelvis en viss ärendeserie och ett visst årtal.</t>
    </r>
  </si>
  <si>
    <r>
      <t xml:space="preserve">Den befintliga data som nämns i </t>
    </r>
    <r>
      <rPr>
        <sz val="11"/>
        <color rgb="FFFF0000"/>
        <rFont val="Garamond"/>
        <family val="1"/>
      </rPr>
      <t>bilaga 6.</t>
    </r>
    <r>
      <rPr>
        <sz val="11"/>
        <color theme="1"/>
        <rFont val="Garamond"/>
        <family val="1"/>
      </rPr>
      <t xml:space="preserve"> Konvertering för Borlänge kommun ska konverteras till IT-systemet. </t>
    </r>
  </si>
  <si>
    <r>
      <t>Fakturauppgifter (minst; fastighet, ärendemening, diarienummer) och fakturaunderlag ska gå att exportera till kommunens ekonomisystem för både intern och extern fakturering. Internfakturering ska göras med bokföringsorder med både intäkt och kostnadsbelastning enligt</t>
    </r>
    <r>
      <rPr>
        <sz val="11"/>
        <color rgb="FFFF0000"/>
        <rFont val="Garamond"/>
        <family val="1"/>
      </rPr>
      <t xml:space="preserve"> bilaga 5 – Postbeskrivning. </t>
    </r>
    <r>
      <rPr>
        <sz val="11"/>
        <color rgb="FF000000"/>
        <rFont val="Garamond"/>
        <family val="1"/>
      </rPr>
      <t xml:space="preserve">Extern fakturering ska göras med fakturor enligt </t>
    </r>
    <r>
      <rPr>
        <sz val="11"/>
        <color rgb="FFFF0000"/>
        <rFont val="Garamond"/>
        <family val="1"/>
      </rPr>
      <t>bilaga 4 – Filbeskrivning kunduppgifter</t>
    </r>
    <r>
      <rPr>
        <sz val="11"/>
        <color rgb="FF000000"/>
        <rFont val="Garamond"/>
        <family val="1"/>
      </rPr>
      <t>.</t>
    </r>
  </si>
  <si>
    <r>
      <t xml:space="preserve">IT-systemet ska kunna generera fakturafiler i ett strukturerat, maskinläsbart format som </t>
    </r>
    <r>
      <rPr>
        <sz val="11"/>
        <color rgb="FFFF0000"/>
        <rFont val="Garamond"/>
        <family val="1"/>
      </rPr>
      <t>XML, CSV, Json eller PEPPOL BIS</t>
    </r>
    <r>
      <rPr>
        <sz val="11"/>
        <color rgb="FF000000"/>
        <rFont val="Garamond"/>
        <family val="1"/>
      </rPr>
      <t>.</t>
    </r>
  </si>
  <si>
    <t>IT-systemet ska ha kopplingar mot folkbokföringsregister, mot antingen NAVet, Pulsens Qid och/eller Sambruks Multifråga XL.</t>
  </si>
  <si>
    <t>Det ska finnas funktionalitet för automatiserad processtyrning på ärendennivå i IT-systemet. Detta innebär att delar av handläggningsprocessen ska kunna styras och utlösas automatiskt utifrån fördefinierade regler, utan behov av manuell handpåläggning. Systemet ska kunna koppla händelser i processen (t.ex. statusändringar eller mottagna handlingar) till förinställda åtgärder i ärendet, såsom aviseringar, uppgifter eller andra systemaktiviteter. 
Dessa delar av processen och reaktioner ska som minst inkludera: 
- Meddelande om status på ärende till berörda sakägare och olika instanser, exempelvis tilldelad/ändrad handläggare
- Skicka ut begäran om komplettering till sökande
- Påminna handläggare om att skriva beslut, fakturera eller avsluta ärende
- Skapa och expediera vissa informationsutskick som t.ex. bekräftelse på mottagen handling</t>
  </si>
  <si>
    <t>Leverantören ska dela med sig av den information över databasen, dess fält och egenskaper till andra leverantörer som behövs för att IT-system ska kunna integreras med ärendehanteringssystemet.</t>
  </si>
  <si>
    <r>
      <t>Det ska finnas funktionalitet för att scannade filer ska kunna hämtas från nätverksresurs till IT-systemet, se även</t>
    </r>
    <r>
      <rPr>
        <sz val="11"/>
        <color rgb="FFFF0000"/>
        <rFont val="Garamond"/>
        <family val="1"/>
      </rPr>
      <t xml:space="preserve"> 1.2.13.  </t>
    </r>
  </si>
  <si>
    <t>IT-systemet ska ha inbyggd funktionalitet för att importera ljud, bild, video och data till ärenden från åtminstone följande källor: XML, DOCX, XLSX, PDF, PDF/A, TXT, CSV. Varav fotografier, bilder och kartor: TIFF eller JPEG, Video: MPEG2 eller MPEG4, Ljud: MP3 eller Broadcast Wave.</t>
  </si>
  <si>
    <t>IT-systemet ska ha inbyggd funktionalitet för att spara i arkivbeständigt format i IT-systemet. Idag är följande filformat accepterade:
• Kontorsdokument, ren text: TIFF, XML eller PDF/A-1b
• Fotografier och bilder: TIFF eller JPEG
• Kartor: TIFF
• Video: MPEG2 eller MPEG4 
• Ljud: MP3, Broadcast Wave</t>
  </si>
  <si>
    <t>Det bör finnas inbyggd funktionalitet för att  att ändra eller själv bestämma namnet på inscannade filer i IT-systemet utan att spara ner filen lokalt först, på t.ex. skrivbordet. </t>
  </si>
  <si>
    <t>Det bör finnas inbyggd funktionalitet för att  att se dokument utan att öppna dokumentet (förhandsgranska) i IT-systemet. </t>
  </si>
  <si>
    <t>Det bör finnas inbyggd funktionalitet för att i ett pågående ärende återskapa hur en handling från mall sett ut vid en given tidpunkt, dock inte om handlingen har gallrats i enlighet med gallringsbeslut.</t>
  </si>
  <si>
    <t>Det ska finnas inbyggd funktionalitet för att ändra namn på handlingar i IT-systemet.</t>
  </si>
  <si>
    <t xml:space="preserve">Det bör finnas inbyggd funktionalitet för att massdiarieföra i IT-systemet, d.v.s. skapa flera ärenden och händelser i ett arbetsmoment. </t>
  </si>
  <si>
    <t xml:space="preserve">Det ska i IT-systemet finnas inbyggd funktionalitet för flera användare att samtidigt öppna, se och arbeta i samma objekt och samma ärende. Flera användare ska samtidigt kunna öppna och se- men ej arbeta i- samma handling, dokument, anteckning. </t>
  </si>
  <si>
    <t xml:space="preserve">I IT-systemet ska det finnas funktion för omfördelning av ärenden och det ska finnas inbyggd funktionalitet för att byta handläggare och enhet för pågående ärenden. Detta ska finnas inbyggd funktionalitet för att i batch flytta ett/flera/alla ärenden, anläggningar och bevakningar till annan användare, t.ex. i samband med att användare slutar sin tjänst. </t>
  </si>
  <si>
    <t>Det ska finnas inbyggd funktionalitet för att lägga in flera riskklasser och verksamhetskoder för en verksamhet (objekt, anläggning).</t>
  </si>
  <si>
    <t>Det ska finnas inbyggd funktionalitet för en användare att lägga ett objekts (verksamhet, anläggning) relaterade viktiga handlingar, t.ex. gällande tillstånd för miljöfarlig verksamhet, direkt på objektet (verksamhet, anläggning).</t>
  </si>
  <si>
    <t>Användare med särskild behörighet i IT-systemet ska kunna ta fram uppgifter över nuvarande användare. Det ska även finnas inbyggd funktionalitet för att ta fram användarnas behörigheter.</t>
  </si>
  <si>
    <t>Det ska i IT-systemet finnas inbyggd funktionalitet för att lägga in, och använda, egna taxemodeller med egna koder, minst olika taxor för avgifter enligt miljöbalken och livsmedelslagstiftningen.</t>
  </si>
  <si>
    <t>Massuppläggning av debiteringsposter vid t.ex. debitering av årliga tillsynsavgifter ska det finnas inbyggd funktionalitet för att genomföra i IT-systemet. Det ska framgå i tillsynsobjektet/anläggningen efteråt att debitering är gjord.</t>
  </si>
  <si>
    <r>
      <t xml:space="preserve">Det ska i IT-systemet finnas inbyggd funktionalitet för att lägga in- och använda- Borlänge kommuns kontoplan, se </t>
    </r>
    <r>
      <rPr>
        <sz val="11"/>
        <color rgb="FFFF0000"/>
        <rFont val="Garamond"/>
        <family val="1"/>
      </rPr>
      <t>bilaga 4 och 5.</t>
    </r>
  </si>
  <si>
    <t>Det ska finnas inbyggd funktionalitet för att fakturera flera gånger i ett ärende.</t>
  </si>
  <si>
    <t>Det ska finnas inbyggd funktionalitet för att massdebitera årliga avgifter, d.v.s. debitera flera objekt (verksamhet, anläggningar) i ett arbetsflöde.</t>
  </si>
  <si>
    <t xml:space="preserve">Det ska finnas inbyggd funktionalitet för att lägga in beskrivande fakturatexter som automatiskt förs över till respektive faktura i kommunens ekonomisystem. Detta ska gälla för alla interna och externa fakturor. </t>
  </si>
  <si>
    <t>Gallring ska kunna ske genom urval/sökning av metadata i IT-systemet. T.ex. genom att söka fram och lista vad som ska gallras inom en viss tidsperiod. Resultatet av sökning/urval ska vara ett gallringsförslag, som listar vilka handlingar som kommer att gallras. Det ska finnas inbyggd funktionalitet för att ångra/återta poster ur gallringsförslaget innan gallring utförs.</t>
  </si>
  <si>
    <t>Det bör gå att göra en testexport från IT-systemet, där ingen gallring sker i IT-systemet, för att testa att exporten fungerar och göra det bör finnas inbyggd funktionalitet för att korrigera eventuella fel innan fullständig export.</t>
  </si>
  <si>
    <t>IT-systemet ska ha inbyggd funktionalitet för koppling till ett IT-system för förtroendevalda (möteshantering och administration av förtroendevalda). Idag har Borlänge kommun Evolution.</t>
  </si>
  <si>
    <t>IT-systemet ska ha inbyggd funktionalitet för scannerintegration enligt standardiserat format där minst PDF/A används för bildfångst och lagring.</t>
  </si>
  <si>
    <t xml:space="preserve">IT-systemet ska ha inbyggd funktionalitet för överföring av mejl inklusive bilagor från kommunens e-postklient till IT-systemet. </t>
  </si>
  <si>
    <t>IT-systemet ska ha inbyggd funktionalitet för ett objektsregister.</t>
  </si>
  <si>
    <t>IT-systemet ska ha inbyggd funktionalitet för SKR:s taxemodell för både miljö- och hälsoskydd och livsmedel.</t>
  </si>
  <si>
    <t xml:space="preserve">IT-systemet ska ha inbyggd funktionalitet för export och arkivering av data och tillhörande metadata. Som digitalt slutarkiv/system för långtidsbevarande använder Borlänge kommun i dagsläget Iipax Achive som e-arkiv. </t>
  </si>
  <si>
    <t>IT-systemet ska ha inbyggd funktionalitet för gallring av viss information enligt fastställda gallringsfrister. Med gallring avses förstörning av allmänna handlingar.</t>
  </si>
  <si>
    <t>IT-systemet ska ha inbyggd funktionalitet för skannerintegration för standardiserat format, där PDF/A eller TIFF används för bildfångst och lagring.</t>
  </si>
  <si>
    <t>IT-systemet ska ha inbyggd funktionalitet för e-tjänst antingen med egen e-tjänsteplattform eller via integration med kommunens e-tjänsteplattform samt när det kommer nya versioner av dessa. Idag används Artvise och Open ePlatform i Borlänge kommun.</t>
  </si>
  <si>
    <t>IT-systemet ska ha inbyggd funktionalitet för att följa aktuella lagar och regler som kommuner måste följa i hanteringen av handlingar och ärenden. Styrande lagstiftning inkluderar bland annat tryckfrihetsförordningen, kommunallagen, förvaltningslagen, offentlighets- och sekretesslagen, arkivlagen, Europaparlamentets och Rådets förordning (EU) 2016/679, Miljöbalken och livsmedelslagen. IT-systemet ska även ha inbyggd funktionalitet för att följa nationellt framtagna standarder.</t>
  </si>
  <si>
    <t>Det bör gå att i IT-systemet stödja användandet av domänkonto mellan system och databas som autentiseringsmetod.</t>
  </si>
  <si>
    <t>Tillsynsregistren i IT-systemet ska vara utformade så att de har inbyggd funktionalitet gällande för att följa lagstiftning och de rapporteringskrav som statliga myndigheter ställer på kommunerna.</t>
  </si>
  <si>
    <t>IT-systemet ska ha ha inbyggd funktionalitet för genomsökning av personuppgifter, t.ex. för uttag av registerutdrag.</t>
  </si>
  <si>
    <t>Det ska vid export finnas inbyggd funktionalitet för att genom metadata att särskilja handlingar i IT-systemet som:
• Allmänna handlingar från arbetsmaterial
• Innehåller personuppgifter från handlingar som inte gör det
• Sekretessbelagda handlingar från offentliga handlingar
• Olika myndigheters handlingar från varandra i gemensamma IT-stöd
• Handlingar som ska bevaras från handlingar som ska gallras
• Handlingar med olika gallringsfrister</t>
  </si>
  <si>
    <t>IT-systemet ska ha inbyggd funktionalitet för filuppladdning (bifogande av filer). Bifogade filers format ska levereras i ursprungligt format utan att förvanskas.</t>
  </si>
  <si>
    <t xml:space="preserve">IT-systemet ska innehålla ha inbyggd funktionalitet för kontroll av fakturaunderlag och uppgifter som vidarebefordras till ekonomisystem. Det ska gå att uppmärksamma fel angående avgiften (både vid ärende- och årsdebitering samt fast avgift) och finnas inbyggd funktionalitet för att rätta funna fel innan debiteringen körs i skarpt läge. Dessa fel ska tydligt markeras genom färg, typsnitt, highlightning eller på liknande sätt. </t>
  </si>
  <si>
    <t xml:space="preserve">IT-systemet ska ha inbyggda funktioner som stödjer dataexport till lämpligt format för långtidslagring, eller att information lagras i framtidssäkrade format redan från början. För databasapplikationer krävs fullständig beskrivning av tabellstruktur och relationer.
Informationen ska kunna exporteras som någon av följande:
• FGS Paketstruktur (Riksarkivets förvaltningsgemensamma specifikationer)
• XML-format
• Komma- eller tabbseparerad excelfil. </t>
  </si>
  <si>
    <t>Om IT-systemet använder sig av appar ska de ha ha inbyggd funktionalitet för vid var tid marknadsledande operativsystem för mobila enheter, vid upphandlingstillfället Android och iOS.</t>
  </si>
  <si>
    <t>Om det finns en mobilapplikation till IT-systemet ska denna vid leverans ha ha inbyggd funktionalitet för OAuth 2.0 standarden eller OpenID Connect, eller minst SAML 2.0 utan extra utveckling, kostnad eller vara förknippad med någon månadskostnad.</t>
  </si>
  <si>
    <t>Borlänge kommun har en e-tjänsteplattform (Open ePlatform) där medborgare och företagare kan nå kommunens e-tjänster samt ta del av en central Mina sidor-funktion för uppföljning av pågående ärenden. 
IT-systemet bör ha funktionalitet för att via standardiserade API:er integreras mot en extern e-tjänsteplattform där minimum information om status och notifikationer kan skickas till e-tjänsteplattformens Mina sidor. Detta så att en kund kan få en samlad bild av status i ärenden och notifikationer oavsett verksamhetsområde i kommunen. Redogör för det stöd IT-systemet kan erbjuda.</t>
  </si>
  <si>
    <r>
      <t>Information ska kunna levereras till funktion för massutskick av brev via karta och intressentregister,</t>
    </r>
    <r>
      <rPr>
        <sz val="11"/>
        <rFont val="Garamond"/>
        <family val="1"/>
      </rPr>
      <t xml:space="preserve"> som minst</t>
    </r>
    <r>
      <rPr>
        <sz val="11"/>
        <color rgb="FFFF0000"/>
        <rFont val="Garamond"/>
        <family val="1"/>
      </rPr>
      <t xml:space="preserve"> </t>
    </r>
    <r>
      <rPr>
        <sz val="11"/>
        <color rgb="FF000000"/>
        <rFont val="Garamond"/>
        <family val="1"/>
      </rPr>
      <t>vid remissutskick till grannar.</t>
    </r>
  </si>
  <si>
    <r>
      <t>Det bör finnas finnas inbyggd funktionalitet för att ha flera parter kopplade till samma e-tjänst. Exempelvis både kund och entreprenör</t>
    </r>
    <r>
      <rPr>
        <sz val="11"/>
        <color rgb="FFFF0000"/>
        <rFont val="Garamond"/>
        <family val="1"/>
      </rPr>
      <t xml:space="preserve"> </t>
    </r>
    <r>
      <rPr>
        <sz val="11"/>
        <rFont val="Garamond"/>
        <family val="1"/>
      </rPr>
      <t>kan komplettera eller skicka in handlingar till samma e-tjänsteärende.</t>
    </r>
  </si>
  <si>
    <t xml:space="preserve">Det ska i IT-systemet finnas ha inbyggd funktionalitet för att sekretessbelägga ärenden, händelser och handlingar. </t>
  </si>
  <si>
    <t>Det ska i IT-systemet finnas inbyggd funktionalitet att ange vilken lagrum och paragraf i sekretesslagen som är aktuella att tillämpa vid en sekretessprövning av sekretessbelagda uppgifter.</t>
  </si>
  <si>
    <t>Det ska finnas inbyggd funktionalitet för att lägga in delegat samt koppla till nämndssnurra.</t>
  </si>
  <si>
    <r>
      <t xml:space="preserve">Inbyggd funktionalitet för att skapa standardiserade fraser bör kunna begränsas till vissa användare, se även krav </t>
    </r>
    <r>
      <rPr>
        <sz val="11"/>
        <color rgb="FFFF0000"/>
        <rFont val="Garamond"/>
        <family val="1"/>
      </rPr>
      <t>1.10.5.</t>
    </r>
  </si>
  <si>
    <t xml:space="preserve">Fel- och varningsmeddelanden ska vara tydliga så att användaren har förutsättningar för att göra rätt.   </t>
  </si>
  <si>
    <t>IT-systemet ska ha inbyggd funktionalitet för att göra uttag av uppgifter för uppföljning och statistik.</t>
  </si>
  <si>
    <t>Det bör finnas inbyggd funktionalitet för att exportera data från IT-systemets databas till ett analysdatalager för statistikbehandling i Power BI eller Qlikview eller annat externt visualiseringsverktyg (BI-system) eller annan behandling av data i transformationsverktyg som FME (så kallade ETL-verktyg "Extract, Transform, Load").</t>
  </si>
  <si>
    <t xml:space="preserve">Det ska finnas integration mellan e-tjänster och IT-systemet med inbyggd funktionalitet för att skicka in anmälan inklusive handlingar, dubbelriktad kommunikation som att få statusuppdateringar, få meddelanden och möjlighet att svara och komplettera ärendet, samt ta del av sina pågående ärenden inklusive handlingar och beslut. </t>
  </si>
  <si>
    <t>Viktning 3:</t>
  </si>
  <si>
    <t xml:space="preserve">Börkrav
Värdering 3: </t>
  </si>
  <si>
    <r>
      <t xml:space="preserve">Handlingar (dokument) ska kunna öppnas via IT-systemet. För filformat se krav </t>
    </r>
    <r>
      <rPr>
        <sz val="11"/>
        <color rgb="FFFF0000"/>
        <rFont val="Garamond"/>
        <family val="1"/>
      </rPr>
      <t>1.2.4.</t>
    </r>
  </si>
  <si>
    <t>IT-systemets gränssnitt ska ha ett enhetligt och förutsägbart utseende, med konsekvent placering och funktionalitet i alla delar av IT-ssystemet, för att stödja användarens igenkänning och inlärning.</t>
  </si>
  <si>
    <t xml:space="preserve">Det bör finnas en läsrättighetsbaserad visningsfunktion (ett tittskåp eller motsvarande) kopplat till IT-systemet där andra enheter inom kommunen ska ha möjlighet att söka efter ett ärende i IT-systemet och enbart kunna se och ta del av handlingar, händelser och anteckningar. </t>
  </si>
  <si>
    <t>Leverantören ska i sitt anbud beskriva hur sekretessärenden och sekretesshandlingar märks och särbehandlas i IT-systemet.</t>
  </si>
  <si>
    <t>Det ska gå att lagra avslutade ärenden i IT-systemet. Beställaren ska själv kunna besluta hur länge avslutade ärenden sparas i IT-systemet innan export till e-arkiv sker, utan att IT-systemet sätter tekniska eller administrativa begränsningar för detta.</t>
  </si>
  <si>
    <t xml:space="preserve">SV: Upphandling - Ärendehanteringssystem för miljöenheten
Kravspecifikation
GNU 2025/115
Uppdaterad: 2025-10-04
</t>
  </si>
  <si>
    <t>Totalt: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</si>
</sst>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0.00\ &quot;kr&quot;_-;\-* #,##0.00\ &quot;kr&quot;_-;_-* &quot;-&quot;??\ &quot;kr&quot;_-;_-@_-"/>
    <numFmt numFmtId="164" formatCode="000\ 00"/>
  </numFmts>
  <fonts count="48">
    <font>
      <sz val="11"/>
      <color theme="1"/>
      <name val="Calibri"/>
      <family val="2"/>
      <scheme val="minor"/>
    </font>
    <font>
      <b/>
      <sz val="16"/>
      <color theme="1"/>
      <name val="Garamond"/>
      <family val="1"/>
    </font>
    <font>
      <sz val="20"/>
      <color theme="1"/>
      <name val="Garamond"/>
      <family val="1"/>
    </font>
    <font>
      <sz val="20"/>
      <color rgb="FF1F4D78"/>
      <name val="Calibri Light"/>
      <family val="2"/>
    </font>
    <font>
      <sz val="11"/>
      <color theme="1"/>
      <name val="Garamond"/>
      <family val="1"/>
    </font>
    <font>
      <sz val="10"/>
      <color rgb="FF000000"/>
      <name val="Tahoma"/>
      <family val="2"/>
    </font>
    <font>
      <b/>
      <sz val="11"/>
      <color theme="1"/>
      <name val="Garamond"/>
      <family val="1"/>
    </font>
    <font>
      <sz val="11"/>
      <color theme="1"/>
      <name val="Franklin Gothic Medium"/>
      <family val="2"/>
    </font>
    <font>
      <sz val="12"/>
      <color theme="1"/>
      <name val="Garamond"/>
      <family val="1"/>
    </font>
    <font>
      <sz val="28"/>
      <color rgb="FF000000"/>
      <name val="Franklin Gothic Medium"/>
      <family val="2"/>
    </font>
    <font>
      <sz val="11"/>
      <color rgb="FF000000"/>
      <name val="Franklin Gothic Medium"/>
      <family val="2"/>
    </font>
    <font>
      <b/>
      <sz val="14"/>
      <color theme="1"/>
      <name val="Franklin Gothic Medium"/>
      <family val="2"/>
    </font>
    <font>
      <sz val="11"/>
      <color rgb="FF000000"/>
      <name val="Garamond"/>
      <family val="1"/>
    </font>
    <font>
      <sz val="11"/>
      <name val="Garamond"/>
      <family val="1"/>
    </font>
    <font>
      <sz val="11"/>
      <color rgb="FF000000"/>
      <name val="Calibri"/>
      <family val="2"/>
      <scheme val="minor"/>
    </font>
    <font>
      <sz val="11"/>
      <color theme="1"/>
      <name val="Calibri"/>
      <family val="2"/>
      <scheme val="minor"/>
    </font>
    <font>
      <sz val="10"/>
      <name val="Arial"/>
      <family val="2"/>
    </font>
    <font>
      <sz val="10"/>
      <color rgb="FF000000"/>
      <name val="Tahoma"/>
      <family val="2"/>
    </font>
    <font>
      <b/>
      <sz val="11"/>
      <color theme="1"/>
      <name val="Calibri"/>
      <family val="2"/>
      <scheme val="minor"/>
    </font>
    <font>
      <sz val="11"/>
      <color rgb="FFFF0000"/>
      <name val="Calibri"/>
      <family val="2"/>
      <scheme val="minor"/>
    </font>
    <font>
      <b/>
      <sz val="11"/>
      <color rgb="FFFF0000"/>
      <name val="Calibri"/>
      <family val="2"/>
      <scheme val="minor"/>
    </font>
    <font>
      <sz val="11"/>
      <color rgb="FF000000"/>
      <name val="Calibri"/>
      <family val="2"/>
    </font>
    <font>
      <sz val="20"/>
      <color rgb="FF1F4D78"/>
      <name val="Calibri Light"/>
      <family val="2"/>
    </font>
    <font>
      <sz val="16"/>
      <color theme="1"/>
      <name val="Calibri"/>
      <family val="2"/>
    </font>
    <font>
      <sz val="10"/>
      <name val="Franklin Gothic Medium"/>
      <family val="2"/>
    </font>
    <font>
      <sz val="11"/>
      <color rgb="FFFF0000"/>
      <name val="Garamond"/>
      <family val="1"/>
    </font>
    <font>
      <sz val="8"/>
      <name val="Calibri"/>
      <family val="2"/>
      <scheme val="minor"/>
    </font>
    <font>
      <sz val="11"/>
      <name val="Franklin Gothic Medium"/>
      <family val="2"/>
    </font>
    <font>
      <sz val="11"/>
      <color rgb="FF7030A0"/>
      <name val="Garamond"/>
      <family val="1"/>
    </font>
    <font>
      <sz val="11"/>
      <color rgb="FF7030A0"/>
      <name val="Franklin Gothic Medium"/>
      <family val="2"/>
    </font>
    <font>
      <b/>
      <sz val="14"/>
      <name val="Franklin Gothic Medium"/>
      <family val="2"/>
    </font>
    <font>
      <sz val="9"/>
      <name val="Calibri"/>
      <family val="2"/>
    </font>
    <font>
      <sz val="9"/>
      <name val="Calibri Light"/>
      <family val="2"/>
      <scheme val="major"/>
    </font>
    <font>
      <sz val="9"/>
      <color theme="1"/>
      <name val="Calibri Light"/>
      <family val="2"/>
      <scheme val="major"/>
    </font>
    <font>
      <sz val="9"/>
      <name val="Garamond"/>
      <family val="1"/>
    </font>
    <font>
      <sz val="11"/>
      <color rgb="FF111827"/>
      <name val="Garamond"/>
      <family val="1"/>
    </font>
    <font>
      <sz val="11"/>
      <color rgb="FF444444"/>
      <name val="Garamond"/>
      <family val="1"/>
    </font>
    <font>
      <sz val="11"/>
      <color rgb="FFEE0000"/>
      <name val="Garamond"/>
      <family val="1"/>
    </font>
    <font>
      <strike/>
      <sz val="11"/>
      <color rgb="FF000000"/>
      <name val="Calibri Light"/>
      <family val="2"/>
    </font>
    <font>
      <strike/>
      <sz val="11"/>
      <color theme="1"/>
      <name val="Calibri Light"/>
      <family val="2"/>
    </font>
    <font>
      <sz val="11"/>
      <color rgb="FF000000"/>
      <name val="Calibri Light"/>
      <family val="2"/>
    </font>
    <font>
      <sz val="11"/>
      <color theme="1"/>
      <name val="Calibri Light"/>
      <family val="2"/>
    </font>
    <font>
      <u/>
      <sz val="11"/>
      <color theme="10"/>
      <name val="Calibri"/>
      <family val="2"/>
      <scheme val="minor"/>
    </font>
    <font>
      <sz val="9"/>
      <color theme="1"/>
      <name val="Arial"/>
      <family val="2"/>
    </font>
    <font>
      <sz val="9"/>
      <name val="Calibri"/>
      <family val="2"/>
    </font>
    <font>
      <sz val="11"/>
      <color rgb="FF666666"/>
      <name val="Arial"/>
      <family val="2"/>
    </font>
    <font>
      <b/>
      <sz val="11"/>
      <color rgb="FF666666"/>
      <name val="Arial"/>
      <family val="2"/>
    </font>
    <font>
      <sz val="11"/>
      <color theme="1"/>
      <name val="Aptos"/>
      <family val="2"/>
    </font>
  </fonts>
  <fills count="8">
    <fill>
      <patternFill patternType="none"/>
    </fill>
    <fill>
      <patternFill patternType="gray125"/>
    </fill>
    <fill>
      <patternFill patternType="solid">
        <fgColor theme="9" tint="0.59999389629810485"/>
        <bgColor indexed="64"/>
      </patternFill>
    </fill>
    <fill>
      <patternFill patternType="solid">
        <fgColor theme="9" tint="0.59999389629810485"/>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s>
  <cellStyleXfs count="8">
    <xf numFmtId="0" fontId="0" fillId="0" borderId="0"/>
    <xf numFmtId="0" fontId="15" fillId="0" borderId="0"/>
    <xf numFmtId="0" fontId="16" fillId="0" borderId="0"/>
    <xf numFmtId="0" fontId="15" fillId="0" borderId="0"/>
    <xf numFmtId="44" fontId="15" fillId="0" borderId="0" applyFont="0" applyFill="0" applyBorder="0" applyAlignment="0" applyProtection="0"/>
    <xf numFmtId="0" fontId="16" fillId="0" borderId="0"/>
    <xf numFmtId="44" fontId="15" fillId="0" borderId="0" applyFont="0" applyFill="0" applyBorder="0" applyAlignment="0" applyProtection="0"/>
    <xf numFmtId="0" fontId="42" fillId="0" borderId="0" applyNumberFormat="0" applyFill="0" applyBorder="0" applyAlignment="0" applyProtection="0"/>
  </cellStyleXfs>
  <cellXfs count="324">
    <xf numFmtId="0" fontId="0" fillId="0" borderId="0" xfId="0"/>
    <xf numFmtId="0" fontId="7" fillId="0" borderId="0" xfId="0" applyFont="1"/>
    <xf numFmtId="0" fontId="7" fillId="0" borderId="0" xfId="0" applyFont="1" applyAlignment="1">
      <alignment horizontal="left"/>
    </xf>
    <xf numFmtId="0" fontId="4" fillId="2" borderId="0" xfId="0" applyFont="1" applyFill="1" applyAlignment="1">
      <alignment wrapText="1"/>
    </xf>
    <xf numFmtId="0" fontId="4" fillId="2" borderId="0" xfId="0" applyFont="1" applyFill="1"/>
    <xf numFmtId="0" fontId="9" fillId="3" borderId="1" xfId="0" applyFont="1" applyFill="1" applyBorder="1" applyAlignment="1">
      <alignment horizontal="left" wrapText="1"/>
    </xf>
    <xf numFmtId="0" fontId="9" fillId="3" borderId="2" xfId="0" applyFont="1" applyFill="1" applyBorder="1" applyAlignment="1">
      <alignment horizontal="left" wrapText="1"/>
    </xf>
    <xf numFmtId="0" fontId="10" fillId="3" borderId="2" xfId="0" applyFont="1" applyFill="1" applyBorder="1" applyAlignment="1">
      <alignment horizontal="left" wrapText="1"/>
    </xf>
    <xf numFmtId="0" fontId="0" fillId="0" borderId="0" xfId="0" applyAlignment="1">
      <alignment vertical="center"/>
    </xf>
    <xf numFmtId="0" fontId="7" fillId="0" borderId="6" xfId="0" applyFont="1" applyBorder="1"/>
    <xf numFmtId="0" fontId="11" fillId="0" borderId="6" xfId="0" applyFont="1" applyBorder="1" applyAlignment="1">
      <alignment horizontal="left"/>
    </xf>
    <xf numFmtId="0" fontId="7" fillId="0" borderId="6" xfId="0" applyFont="1" applyBorder="1" applyAlignment="1">
      <alignment horizontal="left"/>
    </xf>
    <xf numFmtId="0" fontId="12" fillId="4" borderId="4" xfId="0" applyFont="1" applyFill="1" applyBorder="1" applyAlignment="1">
      <alignment horizontal="left" wrapText="1"/>
    </xf>
    <xf numFmtId="0" fontId="12" fillId="4" borderId="7" xfId="0" applyFont="1" applyFill="1" applyBorder="1" applyAlignment="1">
      <alignment horizontal="left" wrapText="1"/>
    </xf>
    <xf numFmtId="0" fontId="12" fillId="3" borderId="4" xfId="0" applyFont="1" applyFill="1" applyBorder="1" applyAlignment="1">
      <alignment horizontal="left" wrapText="1"/>
    </xf>
    <xf numFmtId="164" fontId="12" fillId="3" borderId="4" xfId="0" applyNumberFormat="1" applyFont="1" applyFill="1" applyBorder="1" applyAlignment="1">
      <alignment horizontal="left" wrapText="1"/>
    </xf>
    <xf numFmtId="0" fontId="13" fillId="3" borderId="4" xfId="0" applyFont="1" applyFill="1" applyBorder="1" applyAlignment="1">
      <alignment horizontal="left" wrapText="1"/>
    </xf>
    <xf numFmtId="0" fontId="7" fillId="0" borderId="0" xfId="0" applyFont="1" applyAlignment="1">
      <alignment wrapText="1"/>
    </xf>
    <xf numFmtId="0" fontId="12" fillId="2" borderId="2" xfId="0" applyFont="1" applyFill="1" applyBorder="1" applyAlignment="1">
      <alignment horizontal="left" wrapText="1"/>
    </xf>
    <xf numFmtId="0" fontId="4" fillId="0" borderId="6" xfId="0" applyFont="1" applyBorder="1" applyAlignment="1">
      <alignment horizontal="left"/>
    </xf>
    <xf numFmtId="0" fontId="10" fillId="4" borderId="4" xfId="0" applyFont="1" applyFill="1" applyBorder="1" applyAlignment="1">
      <alignment horizontal="left" wrapText="1"/>
    </xf>
    <xf numFmtId="0" fontId="12" fillId="3" borderId="5" xfId="0" applyFont="1" applyFill="1" applyBorder="1" applyAlignment="1">
      <alignment horizontal="left" wrapText="1"/>
    </xf>
    <xf numFmtId="0" fontId="12" fillId="3" borderId="8" xfId="0" applyFont="1" applyFill="1" applyBorder="1" applyAlignment="1">
      <alignment horizontal="left" wrapText="1"/>
    </xf>
    <xf numFmtId="0" fontId="12" fillId="3" borderId="2" xfId="0" applyFont="1" applyFill="1" applyBorder="1" applyAlignment="1">
      <alignment horizontal="left" wrapText="1"/>
    </xf>
    <xf numFmtId="0" fontId="7" fillId="5" borderId="0" xfId="0" applyFont="1" applyFill="1"/>
    <xf numFmtId="0" fontId="2" fillId="0" borderId="10" xfId="0" applyFont="1" applyBorder="1" applyAlignment="1">
      <alignment horizontal="left" vertical="center"/>
    </xf>
    <xf numFmtId="0" fontId="4" fillId="0" borderId="10" xfId="0" applyFont="1" applyBorder="1" applyAlignment="1">
      <alignment horizontal="left" vertical="center"/>
    </xf>
    <xf numFmtId="0" fontId="1" fillId="0" borderId="11" xfId="0" applyFont="1" applyBorder="1" applyAlignment="1">
      <alignment horizontal="left" vertical="center"/>
    </xf>
    <xf numFmtId="0" fontId="1" fillId="0" borderId="9" xfId="0" applyFont="1" applyBorder="1" applyAlignment="1">
      <alignment horizontal="left" vertical="center" wrapText="1"/>
    </xf>
    <xf numFmtId="0" fontId="18" fillId="0" borderId="0" xfId="0" applyFont="1"/>
    <xf numFmtId="0" fontId="4" fillId="2" borderId="4" xfId="0" applyFont="1" applyFill="1" applyBorder="1" applyAlignment="1">
      <alignment horizontal="left" wrapText="1"/>
    </xf>
    <xf numFmtId="0" fontId="12" fillId="2" borderId="4" xfId="0" applyFont="1" applyFill="1" applyBorder="1" applyAlignment="1">
      <alignment horizontal="left" wrapText="1"/>
    </xf>
    <xf numFmtId="0" fontId="23" fillId="0" borderId="0" xfId="0" applyFont="1" applyAlignment="1">
      <alignment horizontal="left" vertical="center" wrapText="1"/>
    </xf>
    <xf numFmtId="0" fontId="20" fillId="0" borderId="0" xfId="0" applyFont="1" applyAlignment="1">
      <alignment horizontal="left" vertical="center" wrapText="1"/>
    </xf>
    <xf numFmtId="0" fontId="3" fillId="0" borderId="12" xfId="0" applyFont="1" applyBorder="1" applyAlignment="1">
      <alignment horizontal="left" vertical="center" wrapText="1"/>
    </xf>
    <xf numFmtId="0" fontId="5" fillId="0" borderId="12" xfId="0" applyFont="1" applyBorder="1" applyAlignment="1">
      <alignment horizontal="left" vertical="center" wrapText="1"/>
    </xf>
    <xf numFmtId="0" fontId="0" fillId="0" borderId="0" xfId="0" applyAlignment="1">
      <alignment horizontal="left" vertical="center" wrapText="1"/>
    </xf>
    <xf numFmtId="0" fontId="22" fillId="0" borderId="12" xfId="0" applyFont="1" applyBorder="1" applyAlignment="1">
      <alignment horizontal="left" vertical="center" wrapText="1"/>
    </xf>
    <xf numFmtId="0" fontId="5" fillId="6" borderId="12" xfId="0" applyFont="1" applyFill="1" applyBorder="1" applyAlignment="1">
      <alignment horizontal="left" vertical="center" wrapText="1"/>
    </xf>
    <xf numFmtId="0" fontId="6" fillId="0" borderId="0" xfId="0" applyFont="1" applyAlignment="1">
      <alignment horizontal="left" vertical="center" wrapText="1"/>
    </xf>
    <xf numFmtId="0" fontId="19" fillId="0" borderId="0" xfId="0" applyFont="1" applyAlignment="1">
      <alignment horizontal="left" vertical="center" wrapText="1"/>
    </xf>
    <xf numFmtId="0" fontId="24" fillId="0" borderId="0" xfId="2" applyFont="1"/>
    <xf numFmtId="0" fontId="4" fillId="0" borderId="0" xfId="0" applyFont="1" applyAlignment="1">
      <alignment horizontal="left" vertical="center" indent="1"/>
    </xf>
    <xf numFmtId="0" fontId="4" fillId="0" borderId="0" xfId="0" applyFont="1" applyAlignment="1">
      <alignment horizontal="left" vertical="center" indent="2"/>
    </xf>
    <xf numFmtId="0" fontId="3" fillId="6" borderId="12" xfId="0" applyFont="1" applyFill="1" applyBorder="1" applyAlignment="1">
      <alignment horizontal="left" vertical="center" wrapText="1"/>
    </xf>
    <xf numFmtId="0" fontId="4" fillId="6" borderId="2" xfId="0" applyFont="1" applyFill="1" applyBorder="1" applyAlignment="1">
      <alignment wrapText="1"/>
    </xf>
    <xf numFmtId="0" fontId="5" fillId="7" borderId="12" xfId="0" applyFont="1" applyFill="1" applyBorder="1" applyAlignment="1">
      <alignment horizontal="left" vertical="center" wrapText="1"/>
    </xf>
    <xf numFmtId="0" fontId="17" fillId="7" borderId="12" xfId="0" applyFont="1" applyFill="1" applyBorder="1" applyAlignment="1">
      <alignment horizontal="left" vertical="center" wrapText="1"/>
    </xf>
    <xf numFmtId="0" fontId="21" fillId="7" borderId="0" xfId="0" applyFont="1" applyFill="1" applyAlignment="1">
      <alignment horizontal="left" vertical="center"/>
    </xf>
    <xf numFmtId="0" fontId="14" fillId="7" borderId="12" xfId="0" applyFont="1" applyFill="1" applyBorder="1" applyAlignment="1">
      <alignment horizontal="left" vertical="center" wrapText="1"/>
    </xf>
    <xf numFmtId="0" fontId="7" fillId="0" borderId="13" xfId="0" applyFont="1" applyBorder="1"/>
    <xf numFmtId="0" fontId="7" fillId="0" borderId="14" xfId="0" applyFont="1" applyBorder="1"/>
    <xf numFmtId="0" fontId="12" fillId="4" borderId="15" xfId="0" applyFont="1" applyFill="1" applyBorder="1" applyAlignment="1">
      <alignment horizontal="left" wrapText="1"/>
    </xf>
    <xf numFmtId="0" fontId="12" fillId="3" borderId="15" xfId="0" applyFont="1" applyFill="1" applyBorder="1" applyAlignment="1">
      <alignment horizontal="left" wrapText="1"/>
    </xf>
    <xf numFmtId="0" fontId="12" fillId="0" borderId="0" xfId="0" applyFont="1" applyAlignment="1">
      <alignment horizontal="left" wrapText="1"/>
    </xf>
    <xf numFmtId="0" fontId="12" fillId="3" borderId="13" xfId="0" applyFont="1" applyFill="1" applyBorder="1" applyAlignment="1">
      <alignment horizontal="left" wrapText="1"/>
    </xf>
    <xf numFmtId="0" fontId="4" fillId="0" borderId="0" xfId="0" applyFont="1" applyAlignment="1">
      <alignment horizontal="left"/>
    </xf>
    <xf numFmtId="0" fontId="12" fillId="0" borderId="0" xfId="0" applyFont="1" applyAlignment="1">
      <alignment wrapText="1"/>
    </xf>
    <xf numFmtId="0" fontId="4" fillId="0" borderId="0" xfId="0" applyFont="1"/>
    <xf numFmtId="0" fontId="4" fillId="0" borderId="0" xfId="0" applyFont="1" applyAlignment="1">
      <alignment wrapText="1"/>
    </xf>
    <xf numFmtId="0" fontId="13" fillId="3" borderId="15" xfId="0" applyFont="1" applyFill="1" applyBorder="1" applyAlignment="1">
      <alignment horizontal="left" wrapText="1"/>
    </xf>
    <xf numFmtId="0" fontId="27" fillId="0" borderId="0" xfId="0" applyFont="1"/>
    <xf numFmtId="0" fontId="13" fillId="0" borderId="0" xfId="0" applyFont="1" applyAlignment="1">
      <alignment horizontal="left" wrapText="1"/>
    </xf>
    <xf numFmtId="0" fontId="27" fillId="0" borderId="0" xfId="0" applyFont="1" applyAlignment="1">
      <alignment wrapText="1"/>
    </xf>
    <xf numFmtId="0" fontId="29" fillId="0" borderId="0" xfId="0" applyFont="1"/>
    <xf numFmtId="0" fontId="13" fillId="0" borderId="0" xfId="0" applyFont="1" applyAlignment="1">
      <alignment wrapText="1"/>
    </xf>
    <xf numFmtId="0" fontId="30" fillId="0" borderId="6" xfId="0" applyFont="1" applyBorder="1" applyAlignment="1">
      <alignment horizontal="left"/>
    </xf>
    <xf numFmtId="0" fontId="27" fillId="0" borderId="6" xfId="0" applyFont="1" applyBorder="1" applyAlignment="1">
      <alignment horizontal="left"/>
    </xf>
    <xf numFmtId="0" fontId="13" fillId="4" borderId="15" xfId="0" applyFont="1" applyFill="1" applyBorder="1" applyAlignment="1">
      <alignment horizontal="left" wrapText="1"/>
    </xf>
    <xf numFmtId="0" fontId="13" fillId="4" borderId="4" xfId="0" applyFont="1" applyFill="1" applyBorder="1" applyAlignment="1">
      <alignment horizontal="left" wrapText="1"/>
    </xf>
    <xf numFmtId="0" fontId="4" fillId="0" borderId="6" xfId="0" applyFont="1" applyBorder="1"/>
    <xf numFmtId="0" fontId="12" fillId="4" borderId="0" xfId="0" applyFont="1" applyFill="1" applyAlignment="1">
      <alignment horizontal="left" wrapText="1"/>
    </xf>
    <xf numFmtId="0" fontId="27" fillId="0" borderId="6" xfId="0" applyFont="1" applyBorder="1"/>
    <xf numFmtId="0" fontId="13" fillId="0" borderId="0" xfId="0" applyFont="1" applyAlignment="1">
      <alignment vertical="center" wrapText="1"/>
    </xf>
    <xf numFmtId="0" fontId="8" fillId="2" borderId="0" xfId="0" applyFont="1" applyFill="1" applyAlignment="1">
      <alignment vertical="top" wrapText="1"/>
    </xf>
    <xf numFmtId="0" fontId="32" fillId="0" borderId="0" xfId="2" applyFont="1"/>
    <xf numFmtId="0" fontId="33" fillId="0" borderId="0" xfId="0" applyFont="1"/>
    <xf numFmtId="0" fontId="27" fillId="0" borderId="0" xfId="2" applyFont="1"/>
    <xf numFmtId="0" fontId="4" fillId="0" borderId="0" xfId="0" applyFont="1" applyAlignment="1" applyProtection="1">
      <alignment wrapText="1"/>
      <protection locked="0"/>
    </xf>
    <xf numFmtId="0" fontId="13" fillId="0" borderId="0" xfId="0" applyFont="1"/>
    <xf numFmtId="0" fontId="4" fillId="0" borderId="0" xfId="0" applyFont="1" applyAlignment="1">
      <alignment horizontal="left" wrapText="1"/>
    </xf>
    <xf numFmtId="0" fontId="34" fillId="0" borderId="0" xfId="0" applyFont="1" applyAlignment="1">
      <alignment wrapText="1"/>
    </xf>
    <xf numFmtId="0" fontId="12" fillId="0" borderId="0" xfId="0" applyFont="1"/>
    <xf numFmtId="0" fontId="4" fillId="0" borderId="0" xfId="0" applyFont="1" applyProtection="1">
      <protection locked="0"/>
    </xf>
    <xf numFmtId="0" fontId="35" fillId="0" borderId="0" xfId="0" applyFont="1"/>
    <xf numFmtId="0" fontId="13" fillId="0" borderId="0" xfId="0" applyFont="1" applyProtection="1">
      <protection locked="0"/>
    </xf>
    <xf numFmtId="0" fontId="4" fillId="0" borderId="0" xfId="0" applyFont="1" applyAlignment="1" applyProtection="1">
      <alignment horizontal="left"/>
      <protection locked="0"/>
    </xf>
    <xf numFmtId="0" fontId="12" fillId="0" borderId="0" xfId="0" applyFont="1" applyAlignment="1" applyProtection="1">
      <alignment wrapText="1"/>
      <protection locked="0"/>
    </xf>
    <xf numFmtId="0" fontId="36" fillId="0" borderId="0" xfId="0" applyFont="1" applyAlignment="1">
      <alignment wrapText="1"/>
    </xf>
    <xf numFmtId="0" fontId="28" fillId="0" borderId="0" xfId="0" applyFont="1" applyProtection="1">
      <protection locked="0"/>
    </xf>
    <xf numFmtId="0" fontId="4" fillId="0" borderId="0" xfId="0" applyFont="1" applyAlignment="1" applyProtection="1">
      <alignment horizontal="left" wrapText="1"/>
      <protection locked="0"/>
    </xf>
    <xf numFmtId="0" fontId="6" fillId="0" borderId="0" xfId="0" applyFont="1" applyAlignment="1" applyProtection="1">
      <alignment vertical="center"/>
      <protection locked="0"/>
    </xf>
    <xf numFmtId="0" fontId="6" fillId="0" borderId="0" xfId="0" applyFont="1" applyAlignment="1">
      <alignment vertical="center" wrapText="1"/>
    </xf>
    <xf numFmtId="0" fontId="6" fillId="0" borderId="0" xfId="0" applyFont="1" applyAlignment="1">
      <alignment vertical="center"/>
    </xf>
    <xf numFmtId="0" fontId="12" fillId="0" borderId="0" xfId="0" applyFont="1" applyAlignment="1">
      <alignment vertical="top" wrapText="1"/>
    </xf>
    <xf numFmtId="0" fontId="7" fillId="0" borderId="4" xfId="0" applyFont="1" applyBorder="1"/>
    <xf numFmtId="0" fontId="13" fillId="0" borderId="0" xfId="0" applyFont="1" applyAlignment="1" applyProtection="1">
      <alignment wrapText="1"/>
      <protection locked="0"/>
    </xf>
    <xf numFmtId="0" fontId="13" fillId="2" borderId="4" xfId="0" applyFont="1" applyFill="1" applyBorder="1" applyAlignment="1">
      <alignment horizontal="left" wrapText="1"/>
    </xf>
    <xf numFmtId="0" fontId="12" fillId="2" borderId="2" xfId="0" quotePrefix="1" applyFont="1" applyFill="1" applyBorder="1" applyAlignment="1">
      <alignment horizontal="left" wrapText="1"/>
    </xf>
    <xf numFmtId="0" fontId="25" fillId="0" borderId="0" xfId="0" applyFont="1" applyAlignment="1">
      <alignment wrapText="1"/>
    </xf>
    <xf numFmtId="0" fontId="25" fillId="0" borderId="0" xfId="0" applyFont="1"/>
    <xf numFmtId="0" fontId="37" fillId="0" borderId="0" xfId="0" applyFont="1" applyAlignment="1">
      <alignment wrapText="1"/>
    </xf>
    <xf numFmtId="0" fontId="39" fillId="0" borderId="0" xfId="0" applyFont="1"/>
    <xf numFmtId="0" fontId="41" fillId="0" borderId="0" xfId="0" applyFont="1"/>
    <xf numFmtId="0" fontId="0" fillId="0" borderId="0" xfId="0" applyAlignment="1">
      <alignment wrapText="1"/>
    </xf>
    <xf numFmtId="0" fontId="12" fillId="3" borderId="0" xfId="0" applyFont="1" applyFill="1" applyAlignment="1">
      <alignment horizontal="left" wrapText="1"/>
    </xf>
    <xf numFmtId="0" fontId="12" fillId="3" borderId="16" xfId="0" applyFont="1" applyFill="1" applyBorder="1" applyAlignment="1">
      <alignment horizontal="left" wrapText="1"/>
    </xf>
    <xf numFmtId="0" fontId="12" fillId="3" borderId="1" xfId="0" applyFont="1" applyFill="1" applyBorder="1" applyAlignment="1">
      <alignment horizontal="left" wrapText="1"/>
    </xf>
    <xf numFmtId="0" fontId="4" fillId="0" borderId="0" xfId="0" applyFont="1" applyAlignment="1">
      <alignment vertical="center" wrapText="1"/>
    </xf>
    <xf numFmtId="0" fontId="4" fillId="0" borderId="0" xfId="0" applyFont="1" applyAlignment="1">
      <alignment vertical="center"/>
    </xf>
    <xf numFmtId="0" fontId="13" fillId="3" borderId="2" xfId="0" applyFont="1" applyFill="1" applyBorder="1" applyAlignment="1">
      <alignment horizontal="left" wrapText="1"/>
    </xf>
    <xf numFmtId="0" fontId="12" fillId="4" borderId="20" xfId="0" applyFont="1" applyFill="1" applyBorder="1" applyAlignment="1">
      <alignment horizontal="left" wrapText="1"/>
    </xf>
    <xf numFmtId="0" fontId="12" fillId="4" borderId="13" xfId="0" applyFont="1" applyFill="1" applyBorder="1" applyAlignment="1">
      <alignment horizontal="left" wrapText="1"/>
    </xf>
    <xf numFmtId="0" fontId="7" fillId="0" borderId="20" xfId="0" applyFont="1" applyBorder="1"/>
    <xf numFmtId="0" fontId="12" fillId="3" borderId="21" xfId="0" applyFont="1" applyFill="1" applyBorder="1" applyAlignment="1">
      <alignment horizontal="left" wrapText="1"/>
    </xf>
    <xf numFmtId="0" fontId="12" fillId="3" borderId="23" xfId="0" applyFont="1" applyFill="1" applyBorder="1" applyAlignment="1">
      <alignment horizontal="left" wrapText="1"/>
    </xf>
    <xf numFmtId="0" fontId="12" fillId="3" borderId="14" xfId="0" applyFont="1" applyFill="1" applyBorder="1" applyAlignment="1">
      <alignment horizontal="left" wrapText="1"/>
    </xf>
    <xf numFmtId="0" fontId="13" fillId="3" borderId="23" xfId="0" applyFont="1" applyFill="1" applyBorder="1" applyAlignment="1">
      <alignment horizontal="left" wrapText="1"/>
    </xf>
    <xf numFmtId="0" fontId="12" fillId="0" borderId="0" xfId="2" applyFont="1" applyAlignment="1">
      <alignment vertical="top" wrapText="1"/>
    </xf>
    <xf numFmtId="0" fontId="12" fillId="4" borderId="6" xfId="0" applyFont="1" applyFill="1" applyBorder="1" applyAlignment="1">
      <alignment horizontal="left" wrapText="1"/>
    </xf>
    <xf numFmtId="0" fontId="7" fillId="0" borderId="27" xfId="0" applyFont="1" applyBorder="1"/>
    <xf numFmtId="0" fontId="4" fillId="0" borderId="20" xfId="0" applyFont="1" applyBorder="1" applyAlignment="1">
      <alignment horizontal="left"/>
    </xf>
    <xf numFmtId="0" fontId="9" fillId="3" borderId="15" xfId="0" applyFont="1" applyFill="1" applyBorder="1" applyAlignment="1">
      <alignment horizontal="left" wrapText="1"/>
    </xf>
    <xf numFmtId="0" fontId="8" fillId="0" borderId="0" xfId="0" applyFont="1" applyAlignment="1">
      <alignment wrapText="1"/>
    </xf>
    <xf numFmtId="0" fontId="0" fillId="0" borderId="0" xfId="0" applyAlignment="1">
      <alignment vertical="center" wrapText="1"/>
    </xf>
    <xf numFmtId="0" fontId="43" fillId="0" borderId="0" xfId="0" applyFont="1" applyAlignment="1" applyProtection="1">
      <alignment vertical="top" wrapText="1"/>
      <protection locked="0"/>
    </xf>
    <xf numFmtId="0" fontId="13" fillId="3" borderId="0" xfId="0" applyFont="1" applyFill="1" applyAlignment="1">
      <alignment horizontal="left" wrapText="1"/>
    </xf>
    <xf numFmtId="0" fontId="12" fillId="3" borderId="9" xfId="0" applyFont="1" applyFill="1" applyBorder="1" applyAlignment="1">
      <alignment horizontal="left" wrapText="1"/>
    </xf>
    <xf numFmtId="0" fontId="12" fillId="2" borderId="5" xfId="0" applyFont="1" applyFill="1" applyBorder="1" applyAlignment="1">
      <alignment horizontal="left" wrapText="1"/>
    </xf>
    <xf numFmtId="0" fontId="12" fillId="2" borderId="0" xfId="0" applyFont="1" applyFill="1" applyAlignment="1">
      <alignment horizontal="left" wrapText="1"/>
    </xf>
    <xf numFmtId="0" fontId="12" fillId="2" borderId="18" xfId="0" applyFont="1" applyFill="1" applyBorder="1" applyAlignment="1">
      <alignment horizontal="left" wrapText="1"/>
    </xf>
    <xf numFmtId="0" fontId="12" fillId="2" borderId="8" xfId="0" applyFont="1" applyFill="1" applyBorder="1" applyAlignment="1">
      <alignment horizontal="left" wrapText="1"/>
    </xf>
    <xf numFmtId="0" fontId="4" fillId="2" borderId="0" xfId="0" applyFont="1" applyFill="1" applyAlignment="1">
      <alignment vertical="center" wrapText="1"/>
    </xf>
    <xf numFmtId="0" fontId="13" fillId="2" borderId="2" xfId="0" applyFont="1" applyFill="1" applyBorder="1" applyAlignment="1">
      <alignment horizontal="left" wrapText="1"/>
    </xf>
    <xf numFmtId="0" fontId="4" fillId="2" borderId="2" xfId="0" applyFont="1" applyFill="1" applyBorder="1" applyAlignment="1">
      <alignment wrapText="1"/>
    </xf>
    <xf numFmtId="0" fontId="4" fillId="2" borderId="4" xfId="0" applyFont="1" applyFill="1" applyBorder="1" applyAlignment="1">
      <alignment horizontal="left"/>
    </xf>
    <xf numFmtId="0" fontId="7" fillId="2" borderId="16" xfId="0" applyFont="1" applyFill="1" applyBorder="1"/>
    <xf numFmtId="0" fontId="4" fillId="2" borderId="16" xfId="0" applyFont="1" applyFill="1" applyBorder="1" applyAlignment="1">
      <alignment horizontal="left"/>
    </xf>
    <xf numFmtId="0" fontId="4" fillId="2" borderId="17" xfId="0" applyFont="1" applyFill="1" applyBorder="1" applyAlignment="1">
      <alignment horizontal="left"/>
    </xf>
    <xf numFmtId="0" fontId="12" fillId="2" borderId="16" xfId="0" applyFont="1" applyFill="1" applyBorder="1" applyAlignment="1">
      <alignment horizontal="left" wrapText="1"/>
    </xf>
    <xf numFmtId="0" fontId="4" fillId="2" borderId="2" xfId="0" applyFont="1" applyFill="1" applyBorder="1" applyAlignment="1">
      <alignment horizontal="left" vertical="top" wrapText="1"/>
    </xf>
    <xf numFmtId="0" fontId="12" fillId="2" borderId="0" xfId="2" applyFont="1" applyFill="1" applyAlignment="1">
      <alignment vertical="top" wrapText="1"/>
    </xf>
    <xf numFmtId="0" fontId="12" fillId="2" borderId="2" xfId="2" applyFont="1" applyFill="1" applyBorder="1" applyAlignment="1">
      <alignment vertical="top" wrapText="1"/>
    </xf>
    <xf numFmtId="0" fontId="12" fillId="2" borderId="21" xfId="0" applyFont="1" applyFill="1" applyBorder="1" applyAlignment="1">
      <alignment horizontal="left" wrapText="1"/>
    </xf>
    <xf numFmtId="0" fontId="12" fillId="2" borderId="21" xfId="2" applyFont="1" applyFill="1" applyBorder="1" applyAlignment="1">
      <alignment vertical="top" wrapText="1"/>
    </xf>
    <xf numFmtId="0" fontId="4" fillId="2" borderId="16" xfId="0" applyFont="1" applyFill="1" applyBorder="1" applyAlignment="1">
      <alignment horizontal="left" wrapText="1"/>
    </xf>
    <xf numFmtId="0" fontId="12" fillId="2" borderId="17" xfId="0" applyFont="1" applyFill="1" applyBorder="1" applyAlignment="1">
      <alignment horizontal="left" wrapText="1"/>
    </xf>
    <xf numFmtId="0" fontId="12" fillId="2" borderId="16" xfId="0" applyFont="1" applyFill="1" applyBorder="1" applyAlignment="1">
      <alignment wrapText="1"/>
    </xf>
    <xf numFmtId="0" fontId="12" fillId="2" borderId="2" xfId="0" applyFont="1" applyFill="1" applyBorder="1" applyAlignment="1">
      <alignment wrapText="1"/>
    </xf>
    <xf numFmtId="0" fontId="12" fillId="2" borderId="21" xfId="0" applyFont="1" applyFill="1" applyBorder="1" applyAlignment="1">
      <alignment vertical="top" wrapText="1"/>
    </xf>
    <xf numFmtId="0" fontId="12" fillId="2" borderId="21" xfId="0" applyFont="1" applyFill="1" applyBorder="1" applyAlignment="1">
      <alignment wrapText="1"/>
    </xf>
    <xf numFmtId="0" fontId="12" fillId="2" borderId="24" xfId="0" applyFont="1" applyFill="1" applyBorder="1" applyAlignment="1">
      <alignment horizontal="left" wrapText="1"/>
    </xf>
    <xf numFmtId="0" fontId="4" fillId="2" borderId="2" xfId="0" applyFont="1" applyFill="1" applyBorder="1" applyAlignment="1">
      <alignment vertical="center"/>
    </xf>
    <xf numFmtId="0" fontId="4" fillId="2" borderId="0" xfId="0" applyFont="1" applyFill="1" applyAlignment="1">
      <alignment vertical="center"/>
    </xf>
    <xf numFmtId="0" fontId="4" fillId="2" borderId="21" xfId="0" applyFont="1" applyFill="1" applyBorder="1"/>
    <xf numFmtId="0" fontId="4" fillId="2" borderId="2" xfId="0" applyFont="1" applyFill="1" applyBorder="1"/>
    <xf numFmtId="0" fontId="7" fillId="2" borderId="2" xfId="0" applyFont="1" applyFill="1" applyBorder="1"/>
    <xf numFmtId="0" fontId="4" fillId="2" borderId="5" xfId="0" applyFont="1" applyFill="1" applyBorder="1" applyAlignment="1">
      <alignment horizontal="left" wrapText="1"/>
    </xf>
    <xf numFmtId="0" fontId="12" fillId="2" borderId="16" xfId="2" applyFont="1" applyFill="1" applyBorder="1" applyAlignment="1">
      <alignment vertical="top" wrapText="1"/>
    </xf>
    <xf numFmtId="49" fontId="12" fillId="2" borderId="2" xfId="0" applyNumberFormat="1" applyFont="1" applyFill="1" applyBorder="1" applyAlignment="1">
      <alignment vertical="top" wrapText="1"/>
    </xf>
    <xf numFmtId="0" fontId="13" fillId="2" borderId="16" xfId="0" applyFont="1" applyFill="1" applyBorder="1" applyAlignment="1">
      <alignment horizontal="left" wrapText="1"/>
    </xf>
    <xf numFmtId="0" fontId="13" fillId="2" borderId="16" xfId="0" applyFont="1" applyFill="1" applyBorder="1" applyAlignment="1">
      <alignment wrapText="1"/>
    </xf>
    <xf numFmtId="0" fontId="12" fillId="2" borderId="16" xfId="0" applyFont="1" applyFill="1" applyBorder="1" applyAlignment="1">
      <alignment horizontal="left" vertical="top" wrapText="1"/>
    </xf>
    <xf numFmtId="0" fontId="4" fillId="2" borderId="21" xfId="0" applyFont="1" applyFill="1" applyBorder="1" applyAlignment="1">
      <alignment wrapText="1"/>
    </xf>
    <xf numFmtId="0" fontId="12" fillId="2" borderId="0" xfId="0" applyFont="1" applyFill="1" applyAlignment="1">
      <alignment wrapText="1"/>
    </xf>
    <xf numFmtId="0" fontId="4" fillId="2" borderId="2" xfId="0" applyFont="1" applyFill="1" applyBorder="1" applyAlignment="1">
      <alignment vertical="center" wrapText="1"/>
    </xf>
    <xf numFmtId="0" fontId="12" fillId="2" borderId="0" xfId="0" applyFont="1" applyFill="1" applyAlignment="1">
      <alignment vertical="top" wrapText="1"/>
    </xf>
    <xf numFmtId="0" fontId="13" fillId="2" borderId="2" xfId="2" applyFont="1" applyFill="1" applyBorder="1"/>
    <xf numFmtId="0" fontId="13" fillId="2" borderId="0" xfId="2" applyFont="1" applyFill="1"/>
    <xf numFmtId="0" fontId="13" fillId="2" borderId="21" xfId="2" applyFont="1" applyFill="1" applyBorder="1"/>
    <xf numFmtId="0" fontId="13" fillId="2" borderId="2" xfId="0" applyFont="1" applyFill="1" applyBorder="1" applyAlignment="1">
      <alignment wrapText="1"/>
    </xf>
    <xf numFmtId="0" fontId="13" fillId="2" borderId="0" xfId="0" applyFont="1" applyFill="1" applyAlignment="1">
      <alignment horizontal="left" wrapText="1"/>
    </xf>
    <xf numFmtId="0" fontId="4" fillId="2" borderId="16" xfId="0" applyFont="1" applyFill="1" applyBorder="1"/>
    <xf numFmtId="0" fontId="13" fillId="2" borderId="21" xfId="0" applyFont="1" applyFill="1" applyBorder="1" applyAlignment="1">
      <alignment horizontal="left" wrapText="1"/>
    </xf>
    <xf numFmtId="0" fontId="4" fillId="2" borderId="16" xfId="0" applyFont="1" applyFill="1" applyBorder="1" applyAlignment="1">
      <alignment wrapText="1"/>
    </xf>
    <xf numFmtId="0" fontId="13" fillId="2" borderId="21" xfId="0" applyFont="1" applyFill="1" applyBorder="1" applyAlignment="1">
      <alignment wrapText="1"/>
    </xf>
    <xf numFmtId="0" fontId="12" fillId="2" borderId="1" xfId="0" applyFont="1" applyFill="1" applyBorder="1" applyAlignment="1">
      <alignment horizontal="left" wrapText="1"/>
    </xf>
    <xf numFmtId="0" fontId="13" fillId="2" borderId="0" xfId="0" applyFont="1" applyFill="1" applyAlignment="1">
      <alignment wrapText="1"/>
    </xf>
    <xf numFmtId="0" fontId="13" fillId="2" borderId="5" xfId="0" applyFont="1" applyFill="1" applyBorder="1" applyAlignment="1">
      <alignment horizontal="left" wrapText="1"/>
    </xf>
    <xf numFmtId="0" fontId="13" fillId="2" borderId="18" xfId="0" applyFont="1" applyFill="1" applyBorder="1" applyAlignment="1">
      <alignment horizontal="left" wrapText="1"/>
    </xf>
    <xf numFmtId="0" fontId="12" fillId="2" borderId="23" xfId="0" applyFont="1" applyFill="1" applyBorder="1" applyAlignment="1">
      <alignment horizontal="left" wrapText="1"/>
    </xf>
    <xf numFmtId="0" fontId="13" fillId="2" borderId="24" xfId="0" applyFont="1" applyFill="1" applyBorder="1" applyAlignment="1">
      <alignment horizontal="left" wrapText="1"/>
    </xf>
    <xf numFmtId="0" fontId="4" fillId="2" borderId="21" xfId="0" applyFont="1" applyFill="1" applyBorder="1" applyAlignment="1">
      <alignment vertical="center"/>
    </xf>
    <xf numFmtId="0" fontId="4" fillId="2" borderId="4" xfId="0" applyFont="1" applyFill="1" applyBorder="1" applyAlignment="1">
      <alignment wrapText="1"/>
    </xf>
    <xf numFmtId="0" fontId="4" fillId="2" borderId="4" xfId="0" applyFont="1" applyFill="1" applyBorder="1" applyAlignment="1">
      <alignment vertical="center" wrapText="1"/>
    </xf>
    <xf numFmtId="0" fontId="12" fillId="2" borderId="16" xfId="0" applyFont="1" applyFill="1" applyBorder="1" applyAlignment="1">
      <alignment vertical="top" wrapText="1"/>
    </xf>
    <xf numFmtId="0" fontId="12" fillId="2" borderId="2" xfId="0" applyFont="1" applyFill="1" applyBorder="1" applyAlignment="1">
      <alignment vertical="top" wrapText="1"/>
    </xf>
    <xf numFmtId="0" fontId="12" fillId="2" borderId="6" xfId="0" applyFont="1" applyFill="1" applyBorder="1" applyAlignment="1">
      <alignment horizontal="left" wrapText="1"/>
    </xf>
    <xf numFmtId="0" fontId="4" fillId="2" borderId="6" xfId="0" applyFont="1" applyFill="1" applyBorder="1" applyAlignment="1">
      <alignment wrapText="1"/>
    </xf>
    <xf numFmtId="0" fontId="4" fillId="2" borderId="15" xfId="0" applyFont="1" applyFill="1" applyBorder="1"/>
    <xf numFmtId="0" fontId="7" fillId="2" borderId="4" xfId="0" applyFont="1" applyFill="1" applyBorder="1"/>
    <xf numFmtId="0" fontId="7" fillId="2" borderId="0" xfId="0" applyFont="1" applyFill="1"/>
    <xf numFmtId="0" fontId="4" fillId="2" borderId="0" xfId="0" applyFont="1" applyFill="1" applyAlignment="1">
      <alignment horizontal="left"/>
    </xf>
    <xf numFmtId="0" fontId="4" fillId="2" borderId="13" xfId="0" applyFont="1" applyFill="1" applyBorder="1"/>
    <xf numFmtId="0" fontId="4" fillId="2" borderId="9" xfId="0" applyFont="1" applyFill="1" applyBorder="1"/>
    <xf numFmtId="0" fontId="4" fillId="2" borderId="23" xfId="0" applyFont="1" applyFill="1" applyBorder="1"/>
    <xf numFmtId="0" fontId="4" fillId="2" borderId="21" xfId="0" applyFont="1" applyFill="1" applyBorder="1" applyAlignment="1" applyProtection="1">
      <alignment vertical="top" wrapText="1"/>
      <protection locked="0"/>
    </xf>
    <xf numFmtId="0" fontId="4" fillId="2" borderId="21" xfId="0" applyFont="1" applyFill="1" applyBorder="1" applyAlignment="1">
      <alignment horizontal="left"/>
    </xf>
    <xf numFmtId="49" fontId="12" fillId="2" borderId="2" xfId="2" applyNumberFormat="1" applyFont="1" applyFill="1" applyBorder="1" applyAlignment="1">
      <alignment vertical="top" wrapText="1"/>
    </xf>
    <xf numFmtId="0" fontId="13" fillId="2" borderId="2" xfId="0" applyFont="1" applyFill="1" applyBorder="1" applyAlignment="1">
      <alignment vertical="top" wrapText="1"/>
    </xf>
    <xf numFmtId="0" fontId="24" fillId="0" borderId="0" xfId="2" applyFont="1" applyAlignment="1">
      <alignment vertical="top"/>
    </xf>
    <xf numFmtId="0" fontId="9" fillId="3" borderId="1" xfId="0" applyFont="1" applyFill="1" applyBorder="1" applyAlignment="1">
      <alignment horizontal="left" vertical="top" wrapText="1"/>
    </xf>
    <xf numFmtId="0" fontId="9" fillId="3" borderId="0" xfId="0" applyFont="1" applyFill="1" applyAlignment="1">
      <alignment horizontal="left" vertical="top" wrapText="1"/>
    </xf>
    <xf numFmtId="0" fontId="10" fillId="4" borderId="4" xfId="0" applyFont="1" applyFill="1" applyBorder="1" applyAlignment="1">
      <alignment horizontal="left" vertical="top" wrapText="1"/>
    </xf>
    <xf numFmtId="0" fontId="10" fillId="4" borderId="0" xfId="0" applyFont="1" applyFill="1" applyAlignment="1">
      <alignment horizontal="left" vertical="top" wrapText="1"/>
    </xf>
    <xf numFmtId="0" fontId="31" fillId="0" borderId="0" xfId="0" applyFont="1" applyAlignment="1">
      <alignment vertical="top" wrapText="1"/>
    </xf>
    <xf numFmtId="0" fontId="44" fillId="0" borderId="0" xfId="0" applyFont="1" applyAlignment="1">
      <alignment vertical="top" wrapText="1"/>
    </xf>
    <xf numFmtId="0" fontId="12" fillId="0" borderId="4" xfId="0" applyFont="1" applyBorder="1" applyAlignment="1">
      <alignment horizontal="left" vertical="top" wrapText="1"/>
    </xf>
    <xf numFmtId="0" fontId="25" fillId="0" borderId="0" xfId="0" applyFont="1" applyAlignment="1">
      <alignment vertical="top" wrapText="1"/>
    </xf>
    <xf numFmtId="0" fontId="13" fillId="3" borderId="21" xfId="0" applyFont="1" applyFill="1" applyBorder="1" applyAlignment="1">
      <alignment horizontal="left" wrapText="1"/>
    </xf>
    <xf numFmtId="0" fontId="13" fillId="0" borderId="0" xfId="0" applyFont="1" applyAlignment="1">
      <alignment horizontal="left" vertical="top"/>
    </xf>
    <xf numFmtId="0" fontId="4" fillId="2" borderId="1" xfId="0" applyFont="1" applyFill="1" applyBorder="1"/>
    <xf numFmtId="0" fontId="13" fillId="2" borderId="6" xfId="0" applyFont="1" applyFill="1" applyBorder="1" applyAlignment="1">
      <alignment horizontal="left" wrapText="1"/>
    </xf>
    <xf numFmtId="0" fontId="13" fillId="2" borderId="6" xfId="0" applyFont="1" applyFill="1" applyBorder="1" applyAlignment="1">
      <alignment vertical="center" wrapText="1"/>
    </xf>
    <xf numFmtId="0" fontId="13" fillId="2" borderId="2" xfId="0" applyFont="1" applyFill="1" applyBorder="1" applyAlignment="1">
      <alignment vertical="center" wrapText="1"/>
    </xf>
    <xf numFmtId="0" fontId="4" fillId="2" borderId="5" xfId="0" applyFont="1" applyFill="1" applyBorder="1" applyAlignment="1">
      <alignment horizontal="left"/>
    </xf>
    <xf numFmtId="0" fontId="4" fillId="2" borderId="4" xfId="0" applyFont="1" applyFill="1" applyBorder="1"/>
    <xf numFmtId="0" fontId="13" fillId="2" borderId="2" xfId="0" applyFont="1" applyFill="1" applyBorder="1" applyAlignment="1">
      <alignment horizontal="left" vertical="top"/>
    </xf>
    <xf numFmtId="0" fontId="4" fillId="2" borderId="2" xfId="0" applyFont="1" applyFill="1" applyBorder="1" applyAlignment="1">
      <alignment horizontal="left"/>
    </xf>
    <xf numFmtId="0" fontId="13" fillId="2" borderId="21" xfId="0" applyFont="1" applyFill="1" applyBorder="1" applyAlignment="1">
      <alignment horizontal="left" vertical="top"/>
    </xf>
    <xf numFmtId="0" fontId="13" fillId="0" borderId="0" xfId="0" applyFont="1" applyAlignment="1">
      <alignment vertical="top" wrapText="1"/>
    </xf>
    <xf numFmtId="0" fontId="7" fillId="0" borderId="0" xfId="0" applyFont="1" applyAlignment="1">
      <alignment horizontal="center"/>
    </xf>
    <xf numFmtId="0" fontId="4" fillId="2" borderId="0" xfId="0" applyFont="1" applyFill="1" applyAlignment="1">
      <alignment horizontal="center" wrapText="1"/>
    </xf>
    <xf numFmtId="0" fontId="10" fillId="3" borderId="5" xfId="0" applyFont="1" applyFill="1" applyBorder="1" applyAlignment="1">
      <alignment horizontal="center" wrapText="1"/>
    </xf>
    <xf numFmtId="0" fontId="7" fillId="0" borderId="6" xfId="0" applyFont="1" applyBorder="1" applyAlignment="1">
      <alignment horizontal="center"/>
    </xf>
    <xf numFmtId="0" fontId="12" fillId="4" borderId="7" xfId="0" applyFont="1" applyFill="1" applyBorder="1" applyAlignment="1">
      <alignment horizontal="center" wrapText="1"/>
    </xf>
    <xf numFmtId="0" fontId="12" fillId="3" borderId="7" xfId="0" applyFont="1" applyFill="1" applyBorder="1" applyAlignment="1">
      <alignment horizontal="center" wrapText="1"/>
    </xf>
    <xf numFmtId="0" fontId="12" fillId="2" borderId="5" xfId="0" applyFont="1" applyFill="1" applyBorder="1" applyAlignment="1">
      <alignment horizontal="center" wrapText="1"/>
    </xf>
    <xf numFmtId="0" fontId="12" fillId="2" borderId="18" xfId="0" applyFont="1" applyFill="1" applyBorder="1" applyAlignment="1">
      <alignment horizontal="center" wrapText="1"/>
    </xf>
    <xf numFmtId="0" fontId="4" fillId="2" borderId="7" xfId="0" applyFont="1" applyFill="1" applyBorder="1" applyAlignment="1">
      <alignment horizontal="center"/>
    </xf>
    <xf numFmtId="0" fontId="12" fillId="2" borderId="8" xfId="0" applyFont="1" applyFill="1" applyBorder="1" applyAlignment="1">
      <alignment horizontal="center" wrapText="1"/>
    </xf>
    <xf numFmtId="0" fontId="13" fillId="3" borderId="7" xfId="0" applyFont="1" applyFill="1" applyBorder="1" applyAlignment="1">
      <alignment horizontal="center" wrapText="1"/>
    </xf>
    <xf numFmtId="0" fontId="12" fillId="3" borderId="11" xfId="0" applyFont="1" applyFill="1" applyBorder="1" applyAlignment="1">
      <alignment horizontal="center" wrapText="1"/>
    </xf>
    <xf numFmtId="0" fontId="12" fillId="2" borderId="7" xfId="0" applyFont="1" applyFill="1" applyBorder="1" applyAlignment="1">
      <alignment horizontal="center" wrapText="1"/>
    </xf>
    <xf numFmtId="0" fontId="12" fillId="3" borderId="22" xfId="0" applyFont="1" applyFill="1" applyBorder="1" applyAlignment="1">
      <alignment horizontal="center" wrapText="1"/>
    </xf>
    <xf numFmtId="0" fontId="12" fillId="0" borderId="0" xfId="0" applyFont="1" applyAlignment="1">
      <alignment horizontal="center" wrapText="1"/>
    </xf>
    <xf numFmtId="0" fontId="6" fillId="2" borderId="7" xfId="0" applyFont="1" applyFill="1" applyBorder="1" applyAlignment="1">
      <alignment horizontal="center" wrapText="1"/>
    </xf>
    <xf numFmtId="0" fontId="4" fillId="2" borderId="7" xfId="0" applyFont="1" applyFill="1" applyBorder="1" applyAlignment="1">
      <alignment horizontal="center" wrapText="1"/>
    </xf>
    <xf numFmtId="0" fontId="4" fillId="2" borderId="17" xfId="0" applyFont="1" applyFill="1" applyBorder="1" applyAlignment="1">
      <alignment horizontal="center"/>
    </xf>
    <xf numFmtId="0" fontId="12" fillId="3" borderId="19" xfId="0" applyFont="1" applyFill="1" applyBorder="1" applyAlignment="1">
      <alignment horizontal="center" wrapText="1"/>
    </xf>
    <xf numFmtId="0" fontId="12" fillId="2" borderId="19" xfId="0" applyFont="1" applyFill="1" applyBorder="1" applyAlignment="1">
      <alignment horizontal="center" wrapText="1"/>
    </xf>
    <xf numFmtId="0" fontId="12" fillId="3" borderId="5" xfId="0" applyFont="1" applyFill="1" applyBorder="1" applyAlignment="1">
      <alignment horizontal="center" wrapText="1"/>
    </xf>
    <xf numFmtId="0" fontId="12" fillId="2" borderId="22" xfId="0" applyFont="1" applyFill="1" applyBorder="1" applyAlignment="1">
      <alignment horizontal="center" wrapText="1"/>
    </xf>
    <xf numFmtId="0" fontId="12" fillId="2" borderId="17" xfId="0" applyFont="1" applyFill="1" applyBorder="1" applyAlignment="1">
      <alignment horizontal="center" wrapText="1"/>
    </xf>
    <xf numFmtId="0" fontId="12" fillId="2" borderId="11" xfId="0" applyFont="1" applyFill="1" applyBorder="1" applyAlignment="1">
      <alignment horizontal="center" wrapText="1"/>
    </xf>
    <xf numFmtId="0" fontId="4" fillId="0" borderId="6" xfId="0" applyFont="1" applyBorder="1" applyAlignment="1">
      <alignment horizontal="center"/>
    </xf>
    <xf numFmtId="0" fontId="12" fillId="2" borderId="24" xfId="0" applyFont="1" applyFill="1" applyBorder="1" applyAlignment="1">
      <alignment horizontal="center" wrapText="1"/>
    </xf>
    <xf numFmtId="0" fontId="12" fillId="3" borderId="3" xfId="0" applyFont="1" applyFill="1" applyBorder="1" applyAlignment="1">
      <alignment horizontal="center" wrapText="1"/>
    </xf>
    <xf numFmtId="0" fontId="12" fillId="4" borderId="3" xfId="0" applyFont="1" applyFill="1" applyBorder="1" applyAlignment="1">
      <alignment horizontal="center" wrapText="1"/>
    </xf>
    <xf numFmtId="0" fontId="12" fillId="2" borderId="3" xfId="0" applyFont="1" applyFill="1" applyBorder="1" applyAlignment="1">
      <alignment horizontal="center" wrapText="1"/>
    </xf>
    <xf numFmtId="0" fontId="4" fillId="2" borderId="5" xfId="0" applyFont="1" applyFill="1" applyBorder="1" applyAlignment="1">
      <alignment horizontal="center"/>
    </xf>
    <xf numFmtId="0" fontId="13" fillId="2" borderId="7" xfId="0" applyFont="1" applyFill="1" applyBorder="1" applyAlignment="1">
      <alignment horizontal="center" wrapText="1"/>
    </xf>
    <xf numFmtId="0" fontId="13" fillId="2" borderId="11" xfId="0" applyFont="1" applyFill="1" applyBorder="1" applyAlignment="1">
      <alignment horizontal="center" wrapText="1"/>
    </xf>
    <xf numFmtId="0" fontId="28" fillId="3" borderId="7" xfId="0" applyFont="1" applyFill="1" applyBorder="1" applyAlignment="1">
      <alignment horizontal="center" wrapText="1"/>
    </xf>
    <xf numFmtId="0" fontId="4" fillId="2" borderId="3" xfId="0" applyFont="1" applyFill="1" applyBorder="1" applyAlignment="1">
      <alignment horizontal="center"/>
    </xf>
    <xf numFmtId="0" fontId="13" fillId="0" borderId="0" xfId="0" applyFont="1" applyAlignment="1">
      <alignment horizontal="center" wrapText="1"/>
    </xf>
    <xf numFmtId="0" fontId="13" fillId="2" borderId="19" xfId="0" applyFont="1" applyFill="1" applyBorder="1" applyAlignment="1">
      <alignment horizontal="center" wrapText="1"/>
    </xf>
    <xf numFmtId="0" fontId="13" fillId="2" borderId="22" xfId="0" applyFont="1" applyFill="1" applyBorder="1" applyAlignment="1">
      <alignment horizontal="center" wrapText="1"/>
    </xf>
    <xf numFmtId="0" fontId="12" fillId="4" borderId="19" xfId="0" applyFont="1" applyFill="1" applyBorder="1" applyAlignment="1">
      <alignment horizontal="center" wrapText="1"/>
    </xf>
    <xf numFmtId="0" fontId="13" fillId="2" borderId="5" xfId="0" applyFont="1" applyFill="1" applyBorder="1" applyAlignment="1">
      <alignment horizontal="center" wrapText="1"/>
    </xf>
    <xf numFmtId="0" fontId="13" fillId="2" borderId="18" xfId="0" applyFont="1" applyFill="1" applyBorder="1" applyAlignment="1">
      <alignment horizontal="center" wrapText="1"/>
    </xf>
    <xf numFmtId="0" fontId="13" fillId="2" borderId="24" xfId="0" applyFont="1" applyFill="1" applyBorder="1" applyAlignment="1">
      <alignment horizontal="center" wrapText="1"/>
    </xf>
    <xf numFmtId="0" fontId="27" fillId="0" borderId="6" xfId="0" applyFont="1" applyBorder="1" applyAlignment="1">
      <alignment horizontal="center"/>
    </xf>
    <xf numFmtId="0" fontId="13" fillId="4" borderId="7" xfId="0" applyFont="1" applyFill="1" applyBorder="1" applyAlignment="1">
      <alignment horizontal="center" wrapText="1"/>
    </xf>
    <xf numFmtId="0" fontId="12" fillId="3" borderId="8" xfId="0" applyFont="1" applyFill="1" applyBorder="1" applyAlignment="1">
      <alignment horizontal="center" wrapText="1"/>
    </xf>
    <xf numFmtId="0" fontId="12" fillId="2" borderId="25" xfId="0" applyFont="1" applyFill="1" applyBorder="1" applyAlignment="1">
      <alignment horizontal="center" wrapText="1"/>
    </xf>
    <xf numFmtId="0" fontId="12" fillId="4" borderId="6" xfId="0" applyFont="1" applyFill="1" applyBorder="1" applyAlignment="1">
      <alignment horizontal="center" wrapText="1"/>
    </xf>
    <xf numFmtId="0" fontId="12" fillId="4" borderId="26" xfId="0" applyFont="1" applyFill="1" applyBorder="1" applyAlignment="1">
      <alignment horizontal="center" wrapText="1"/>
    </xf>
    <xf numFmtId="0" fontId="7" fillId="2" borderId="3" xfId="0" applyFont="1" applyFill="1" applyBorder="1" applyAlignment="1">
      <alignment horizontal="center"/>
    </xf>
    <xf numFmtId="0" fontId="7" fillId="2" borderId="19" xfId="0" applyFont="1" applyFill="1" applyBorder="1" applyAlignment="1">
      <alignment horizontal="center"/>
    </xf>
    <xf numFmtId="0" fontId="7" fillId="2" borderId="7" xfId="0" applyFont="1" applyFill="1" applyBorder="1" applyAlignment="1">
      <alignment horizontal="center"/>
    </xf>
    <xf numFmtId="0" fontId="7" fillId="2" borderId="18" xfId="0" applyFont="1" applyFill="1" applyBorder="1" applyAlignment="1">
      <alignment horizontal="center"/>
    </xf>
    <xf numFmtId="0" fontId="7" fillId="2" borderId="11" xfId="0" applyFont="1" applyFill="1" applyBorder="1" applyAlignment="1">
      <alignment horizontal="center"/>
    </xf>
    <xf numFmtId="0" fontId="12" fillId="4" borderId="28" xfId="0" applyFont="1" applyFill="1" applyBorder="1" applyAlignment="1">
      <alignment horizontal="center" wrapText="1"/>
    </xf>
    <xf numFmtId="0" fontId="4" fillId="2" borderId="19" xfId="0" applyFont="1" applyFill="1" applyBorder="1" applyAlignment="1">
      <alignment horizontal="center"/>
    </xf>
    <xf numFmtId="0" fontId="4" fillId="0" borderId="0" xfId="0" applyFont="1" applyAlignment="1">
      <alignment horizontal="center"/>
    </xf>
    <xf numFmtId="0" fontId="4" fillId="2" borderId="22" xfId="0" applyFont="1" applyFill="1" applyBorder="1" applyAlignment="1">
      <alignment horizontal="center"/>
    </xf>
    <xf numFmtId="0" fontId="13" fillId="0" borderId="0" xfId="7" applyFont="1" applyAlignment="1">
      <alignment wrapText="1"/>
    </xf>
    <xf numFmtId="0" fontId="4" fillId="2" borderId="2" xfId="0" applyFont="1" applyFill="1" applyBorder="1" applyAlignment="1">
      <alignment horizontal="left" wrapText="1"/>
    </xf>
    <xf numFmtId="0" fontId="4" fillId="2" borderId="6" xfId="0" applyFont="1" applyFill="1" applyBorder="1"/>
    <xf numFmtId="0" fontId="13" fillId="2" borderId="21" xfId="0" applyFont="1" applyFill="1" applyBorder="1" applyAlignment="1">
      <alignment vertical="top" wrapText="1"/>
    </xf>
    <xf numFmtId="0" fontId="4" fillId="2" borderId="22" xfId="0" applyFont="1" applyFill="1" applyBorder="1" applyAlignment="1">
      <alignment horizontal="center" wrapText="1"/>
    </xf>
    <xf numFmtId="0" fontId="12" fillId="2" borderId="4" xfId="0" applyFont="1" applyFill="1" applyBorder="1" applyAlignment="1">
      <alignment horizontal="left"/>
    </xf>
    <xf numFmtId="0" fontId="12" fillId="3" borderId="4" xfId="0" applyFont="1" applyFill="1" applyBorder="1" applyAlignment="1">
      <alignment horizontal="left"/>
    </xf>
    <xf numFmtId="0" fontId="4" fillId="2" borderId="2" xfId="0" applyFont="1" applyFill="1" applyBorder="1" applyAlignment="1">
      <alignment horizontal="left" vertical="top"/>
    </xf>
    <xf numFmtId="0" fontId="4" fillId="2" borderId="21" xfId="0" applyFont="1" applyFill="1" applyBorder="1" applyAlignment="1">
      <alignment vertical="top" wrapText="1"/>
    </xf>
    <xf numFmtId="0" fontId="4" fillId="2" borderId="2" xfId="0" applyFont="1" applyFill="1" applyBorder="1" applyAlignment="1">
      <alignment vertical="top" wrapText="1"/>
    </xf>
    <xf numFmtId="49" fontId="12" fillId="2" borderId="21" xfId="0" applyNumberFormat="1" applyFont="1" applyFill="1" applyBorder="1" applyAlignment="1">
      <alignment horizontal="left" vertical="top" wrapText="1"/>
    </xf>
    <xf numFmtId="0" fontId="4" fillId="2" borderId="0" xfId="0" applyFont="1" applyFill="1" applyAlignment="1">
      <alignment horizontal="left" vertical="top" wrapText="1"/>
    </xf>
    <xf numFmtId="0" fontId="12" fillId="2" borderId="2" xfId="0" applyFont="1" applyFill="1" applyBorder="1"/>
    <xf numFmtId="0" fontId="12" fillId="2" borderId="2" xfId="2" applyFont="1" applyFill="1" applyBorder="1" applyAlignment="1">
      <alignment horizontal="left" vertical="top" wrapText="1"/>
    </xf>
    <xf numFmtId="0" fontId="13" fillId="3" borderId="4" xfId="0" applyFont="1" applyFill="1" applyBorder="1" applyAlignment="1">
      <alignment horizontal="left" vertical="top" wrapText="1"/>
    </xf>
    <xf numFmtId="0" fontId="13" fillId="3" borderId="4" xfId="0" applyFont="1" applyFill="1" applyBorder="1" applyAlignment="1">
      <alignment horizontal="left" vertical="top"/>
    </xf>
    <xf numFmtId="0" fontId="12" fillId="2" borderId="0" xfId="0" applyFont="1" applyFill="1" applyAlignment="1">
      <alignment horizontal="left" vertical="top" wrapText="1"/>
    </xf>
    <xf numFmtId="0" fontId="12" fillId="3" borderId="4" xfId="0" applyFont="1" applyFill="1" applyBorder="1" applyAlignment="1">
      <alignment horizontal="left" vertical="top"/>
    </xf>
    <xf numFmtId="0" fontId="12" fillId="3" borderId="2" xfId="0" applyFont="1" applyFill="1" applyBorder="1" applyAlignment="1">
      <alignment horizontal="left" vertical="top" wrapText="1"/>
    </xf>
    <xf numFmtId="0" fontId="12" fillId="3" borderId="7" xfId="0" applyFont="1" applyFill="1" applyBorder="1" applyAlignment="1">
      <alignment horizontal="left" wrapText="1"/>
    </xf>
    <xf numFmtId="0" fontId="12" fillId="3" borderId="3" xfId="0" applyFont="1" applyFill="1" applyBorder="1" applyAlignment="1">
      <alignment horizontal="left" wrapText="1"/>
    </xf>
    <xf numFmtId="0" fontId="40" fillId="3" borderId="3" xfId="0" applyFont="1" applyFill="1" applyBorder="1" applyAlignment="1">
      <alignment horizontal="left" wrapText="1"/>
    </xf>
    <xf numFmtId="0" fontId="38" fillId="3" borderId="3" xfId="0" applyFont="1" applyFill="1" applyBorder="1" applyAlignment="1">
      <alignment horizontal="left" wrapText="1"/>
    </xf>
    <xf numFmtId="0" fontId="12" fillId="3" borderId="22" xfId="0" applyFont="1" applyFill="1" applyBorder="1" applyAlignment="1">
      <alignment horizontal="left" wrapText="1"/>
    </xf>
    <xf numFmtId="0" fontId="13" fillId="2" borderId="8" xfId="0" applyFont="1" applyFill="1" applyBorder="1" applyAlignment="1">
      <alignment horizontal="left" wrapText="1"/>
    </xf>
    <xf numFmtId="0" fontId="13" fillId="2" borderId="2" xfId="0" applyFont="1" applyFill="1" applyBorder="1"/>
    <xf numFmtId="0" fontId="13" fillId="2" borderId="0" xfId="0" applyFont="1" applyFill="1" applyAlignment="1">
      <alignment horizontal="left" vertical="top" wrapText="1"/>
    </xf>
    <xf numFmtId="0" fontId="13" fillId="2" borderId="2" xfId="0" applyFont="1" applyFill="1" applyBorder="1" applyAlignment="1">
      <alignment horizontal="left" vertical="top" wrapText="1"/>
    </xf>
    <xf numFmtId="0" fontId="12" fillId="3" borderId="4" xfId="0" applyFont="1" applyFill="1" applyBorder="1" applyAlignment="1">
      <alignment horizontal="left" vertical="top" wrapText="1"/>
    </xf>
    <xf numFmtId="0" fontId="7" fillId="0" borderId="0" xfId="0" applyFont="1" applyProtection="1">
      <protection locked="0"/>
    </xf>
    <xf numFmtId="0" fontId="0" fillId="0" borderId="0" xfId="0" applyAlignment="1" applyProtection="1">
      <alignment horizontal="left"/>
      <protection locked="0"/>
    </xf>
    <xf numFmtId="0" fontId="25" fillId="0" borderId="0" xfId="0" applyFont="1" applyAlignment="1">
      <alignment horizontal="left" wrapText="1"/>
    </xf>
    <xf numFmtId="0" fontId="13" fillId="2" borderId="2" xfId="0" applyFont="1" applyFill="1" applyBorder="1" applyAlignment="1">
      <alignment horizontal="left"/>
    </xf>
    <xf numFmtId="0" fontId="7" fillId="2" borderId="22" xfId="0" applyFont="1" applyFill="1" applyBorder="1" applyAlignment="1">
      <alignment horizontal="center"/>
    </xf>
    <xf numFmtId="0" fontId="45" fillId="0" borderId="0" xfId="0" applyFont="1" applyAlignment="1">
      <alignment horizontal="left" vertical="center" wrapText="1"/>
    </xf>
    <xf numFmtId="0" fontId="46" fillId="0" borderId="0" xfId="0" applyFont="1" applyAlignment="1">
      <alignment horizontal="left" vertical="center" wrapText="1"/>
    </xf>
    <xf numFmtId="0" fontId="12" fillId="3" borderId="0" xfId="0" applyFont="1" applyFill="1" applyAlignment="1">
      <alignment horizontal="left" vertical="top" wrapText="1"/>
    </xf>
    <xf numFmtId="0" fontId="47" fillId="0" borderId="0" xfId="0" applyFont="1" applyAlignment="1">
      <alignment vertical="center"/>
    </xf>
    <xf numFmtId="0" fontId="47" fillId="0" borderId="0" xfId="0" applyFont="1" applyAlignment="1">
      <alignment vertical="center" wrapText="1"/>
    </xf>
    <xf numFmtId="0" fontId="33" fillId="0" borderId="0" xfId="0" applyFont="1" applyAlignment="1">
      <alignment wrapText="1"/>
    </xf>
    <xf numFmtId="0" fontId="8" fillId="2" borderId="0" xfId="0" applyFont="1" applyFill="1" applyAlignment="1">
      <alignment vertical="top" wrapText="1"/>
    </xf>
    <xf numFmtId="0" fontId="9" fillId="4" borderId="6" xfId="0" applyFont="1" applyFill="1" applyBorder="1" applyAlignment="1">
      <alignment horizontal="left" wrapText="1"/>
    </xf>
    <xf numFmtId="0" fontId="8" fillId="2" borderId="0" xfId="0" applyFont="1" applyFill="1" applyAlignment="1">
      <alignment vertical="top" wrapText="1"/>
    </xf>
    <xf numFmtId="0" fontId="9" fillId="3" borderId="2" xfId="0" applyFont="1" applyFill="1" applyBorder="1" applyAlignment="1">
      <alignment horizontal="left" wrapText="1"/>
    </xf>
    <xf numFmtId="0" fontId="9" fillId="3" borderId="5" xfId="0" applyFont="1" applyFill="1" applyBorder="1" applyAlignment="1">
      <alignment horizontal="left" wrapText="1"/>
    </xf>
    <xf numFmtId="0" fontId="9" fillId="3" borderId="2" xfId="0" applyFont="1" applyFill="1" applyBorder="1" applyAlignment="1">
      <alignment horizontal="left" vertical="top" wrapText="1"/>
    </xf>
    <xf numFmtId="0" fontId="9" fillId="3" borderId="5" xfId="0" applyFont="1" applyFill="1" applyBorder="1" applyAlignment="1">
      <alignment horizontal="left" vertical="top" wrapText="1"/>
    </xf>
  </cellXfs>
  <cellStyles count="8">
    <cellStyle name="Hyperlänk" xfId="7" builtinId="8"/>
    <cellStyle name="Normal" xfId="0" builtinId="0"/>
    <cellStyle name="Normal 2" xfId="1"/>
    <cellStyle name="Normal 2 2" xfId="5"/>
    <cellStyle name="Normal 3" xfId="2"/>
    <cellStyle name="Normal 4 3" xfId="3"/>
    <cellStyle name="Valuta 2" xfId="6"/>
    <cellStyle name="Valuta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2</xdr:col>
      <xdr:colOff>513974</xdr:colOff>
      <xdr:row>3</xdr:row>
      <xdr:rowOff>1593</xdr:rowOff>
    </xdr:to>
    <xdr:pic>
      <xdr:nvPicPr>
        <xdr:cNvPr id="2" name="Bildobjekt 1">
          <a:extLst>
            <a:ext uri="{FF2B5EF4-FFF2-40B4-BE49-F238E27FC236}">
              <a16:creationId xmlns:a16="http://schemas.microsoft.com/office/drawing/2014/main" id="{F9EAD376-265F-4859-9C2F-07F819A877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66675"/>
          <a:ext cx="2279909" cy="5330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53975</xdr:colOff>
      <xdr:row>0</xdr:row>
      <xdr:rowOff>50800</xdr:rowOff>
    </xdr:from>
    <xdr:to>
      <xdr:col>2</xdr:col>
      <xdr:colOff>313224</xdr:colOff>
      <xdr:row>0</xdr:row>
      <xdr:rowOff>568247</xdr:rowOff>
    </xdr:to>
    <xdr:pic>
      <xdr:nvPicPr>
        <xdr:cNvPr id="3" name="Bildobjekt 2">
          <a:extLst>
            <a:ext uri="{FF2B5EF4-FFF2-40B4-BE49-F238E27FC236}">
              <a16:creationId xmlns:a16="http://schemas.microsoft.com/office/drawing/2014/main" id="{D2D9D28B-330B-4A64-B71C-E64098543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7600" y="50800"/>
          <a:ext cx="2294196" cy="529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1660149</xdr:colOff>
      <xdr:row>0</xdr:row>
      <xdr:rowOff>533723</xdr:rowOff>
    </xdr:to>
    <xdr:pic>
      <xdr:nvPicPr>
        <xdr:cNvPr id="3" name="Bildobjekt 2">
          <a:extLst>
            <a:ext uri="{FF2B5EF4-FFF2-40B4-BE49-F238E27FC236}">
              <a16:creationId xmlns:a16="http://schemas.microsoft.com/office/drawing/2014/main" id="{3679C5C9-2B76-4B28-A873-F90242734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07849" cy="5337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11462</xdr:colOff>
      <xdr:row>0</xdr:row>
      <xdr:rowOff>0</xdr:rowOff>
    </xdr:from>
    <xdr:to>
      <xdr:col>1</xdr:col>
      <xdr:colOff>1544867</xdr:colOff>
      <xdr:row>0</xdr:row>
      <xdr:rowOff>536898</xdr:rowOff>
    </xdr:to>
    <xdr:pic>
      <xdr:nvPicPr>
        <xdr:cNvPr id="2" name="Bildobjekt 1">
          <a:extLst>
            <a:ext uri="{FF2B5EF4-FFF2-40B4-BE49-F238E27FC236}">
              <a16:creationId xmlns:a16="http://schemas.microsoft.com/office/drawing/2014/main" id="{ABE34EE3-6F09-422C-8825-815808193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62" y="0"/>
          <a:ext cx="2276355" cy="536898"/>
        </a:xfrm>
        <a:prstGeom prst="rect">
          <a:avLst/>
        </a:prstGeom>
      </xdr:spPr>
    </xdr:pic>
    <xdr:clientData/>
  </xdr:twoCellAnchor>
</xdr:wsDr>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21"/>
  <sheetViews>
    <sheetView showGridLines="0" workbookViewId="0">
      <selection activeCell="B68" sqref="B68"/>
    </sheetView>
  </sheetViews>
  <sheetFormatPr defaultColWidth="9.26953125" defaultRowHeight="15"/>
  <cols>
    <col min="1" max="1" width="9.26953125" style="1"/>
    <col min="2" max="2" width="18.7265625" style="1" customWidth="1"/>
    <col min="3" max="3" width="64" style="1" customWidth="1"/>
    <col min="4" max="5" width="9.26953125" style="1"/>
    <col min="6" max="6" width="9.26953125" style="1" customWidth="1"/>
    <col min="7" max="16384" width="9.26953125" style="1"/>
  </cols>
  <sheetData>
    <row r="4" spans="2:3" ht="37.5" thickBot="1">
      <c r="B4" s="318" t="s">
        <v>0</v>
      </c>
      <c r="C4" s="318"/>
    </row>
    <row r="5" spans="2:3">
      <c r="B5" s="42" t="s">
        <v>1</v>
      </c>
    </row>
    <row r="6" spans="2:3">
      <c r="B6" s="42" t="s">
        <v>2</v>
      </c>
    </row>
    <row r="7" spans="2:3">
      <c r="B7" s="42"/>
    </row>
    <row r="8" spans="2:3">
      <c r="B8" s="43"/>
    </row>
    <row r="9" spans="2:3">
      <c r="B9" s="43"/>
    </row>
    <row r="10" spans="2:3">
      <c r="B10" s="43"/>
    </row>
    <row r="11" spans="2:3">
      <c r="B11" s="43"/>
    </row>
    <row r="12" spans="2:3">
      <c r="B12" s="43"/>
    </row>
    <row r="13" spans="2:3">
      <c r="B13" s="42"/>
    </row>
    <row r="16" spans="2:3" ht="37.5" thickBot="1">
      <c r="B16" s="318" t="s">
        <v>3</v>
      </c>
      <c r="C16" s="318"/>
    </row>
    <row r="17" spans="2:3">
      <c r="B17" s="1" t="s">
        <v>4</v>
      </c>
      <c r="C17" s="1">
        <f>'Funktionella krav'!G2+'Ickefunktionella krav'!F2</f>
        <v>13</v>
      </c>
    </row>
    <row r="18" spans="2:3">
      <c r="B18" s="1" t="s">
        <v>5</v>
      </c>
      <c r="C18" s="1">
        <f>'Funktionella krav'!G3+'Ickefunktionella krav'!F3</f>
        <v>15</v>
      </c>
    </row>
    <row r="19" spans="2:3">
      <c r="B19" s="1" t="s">
        <v>887</v>
      </c>
      <c r="C19" s="1">
        <f>'Funktionella krav'!G4+'Ickefunktionella krav'!F4</f>
        <v>4</v>
      </c>
    </row>
    <row r="20" spans="2:3">
      <c r="B20" s="1" t="s">
        <v>895</v>
      </c>
      <c r="C20" s="1">
        <f>SUM(C17:C19)</f>
        <v>32</v>
      </c>
    </row>
    <row r="21" spans="2:3" ht="37.5" thickBot="1">
      <c r="B21" s="318"/>
      <c r="C21" s="318"/>
    </row>
  </sheetData>
  <mergeCells count="3">
    <mergeCell ref="B4:C4"/>
    <mergeCell ref="B16:C16"/>
    <mergeCell ref="B21:C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A13" sqref="A13"/>
    </sheetView>
  </sheetViews>
  <sheetFormatPr defaultRowHeight="14.5"/>
  <cols>
    <col min="1" max="1" width="33.1796875" bestFit="1" customWidth="1"/>
    <col min="2" max="2" width="40.1796875" customWidth="1"/>
  </cols>
  <sheetData>
    <row r="1" spans="1:2" ht="43.5">
      <c r="A1" t="s">
        <v>735</v>
      </c>
      <c r="B1" s="59" t="s">
        <v>738</v>
      </c>
    </row>
    <row r="2" spans="1:2" ht="87">
      <c r="A2" t="s">
        <v>736</v>
      </c>
      <c r="B2" s="59" t="s">
        <v>739</v>
      </c>
    </row>
    <row r="3" spans="1:2" ht="29">
      <c r="A3" t="s">
        <v>737</v>
      </c>
      <c r="B3" s="59" t="s">
        <v>740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5"/>
  <sheetViews>
    <sheetView zoomScale="70" zoomScaleNormal="70" workbookViewId="0">
      <selection activeCell="E34" sqref="E34"/>
    </sheetView>
  </sheetViews>
  <sheetFormatPr defaultRowHeight="14.5"/>
  <cols>
    <col min="1" max="1" width="7.1796875" customWidth="1"/>
    <col min="2" max="2" width="96" style="36" customWidth="1"/>
    <col min="3" max="3" width="18.81640625" customWidth="1"/>
  </cols>
  <sheetData>
    <row r="3" spans="1:2" ht="21">
      <c r="B3" s="32"/>
    </row>
    <row r="4" spans="1:2">
      <c r="B4" s="40"/>
    </row>
    <row r="5" spans="1:2">
      <c r="B5" s="33"/>
    </row>
    <row r="6" spans="1:2" ht="20.5">
      <c r="A6" s="27" t="s">
        <v>6</v>
      </c>
      <c r="B6" s="28" t="s">
        <v>7</v>
      </c>
    </row>
    <row r="7" spans="1:2" ht="26">
      <c r="A7" s="25"/>
      <c r="B7" s="34" t="s">
        <v>8</v>
      </c>
    </row>
    <row r="8" spans="1:2" ht="27.75" customHeight="1">
      <c r="A8" s="26">
        <v>1</v>
      </c>
      <c r="B8" s="46" t="s">
        <v>9</v>
      </c>
    </row>
    <row r="9" spans="1:2" ht="25">
      <c r="A9" s="26">
        <v>2</v>
      </c>
      <c r="B9" s="46" t="s">
        <v>10</v>
      </c>
    </row>
    <row r="10" spans="1:2">
      <c r="A10" s="26">
        <v>3</v>
      </c>
      <c r="B10" s="46" t="s">
        <v>11</v>
      </c>
    </row>
    <row r="11" spans="1:2">
      <c r="A11" s="26">
        <v>4</v>
      </c>
      <c r="B11" s="46" t="s">
        <v>12</v>
      </c>
    </row>
    <row r="12" spans="1:2" ht="25">
      <c r="A12" s="26">
        <v>5</v>
      </c>
      <c r="B12" s="47" t="s">
        <v>13</v>
      </c>
    </row>
    <row r="13" spans="1:2">
      <c r="A13" s="26">
        <v>6</v>
      </c>
      <c r="B13" s="46" t="s">
        <v>14</v>
      </c>
    </row>
    <row r="14" spans="1:2" ht="25">
      <c r="A14" s="26">
        <v>7</v>
      </c>
      <c r="B14" s="46" t="s">
        <v>15</v>
      </c>
    </row>
    <row r="15" spans="1:2">
      <c r="A15" s="26">
        <v>8</v>
      </c>
      <c r="B15" s="46" t="s">
        <v>16</v>
      </c>
    </row>
    <row r="16" spans="1:2" ht="40.5" customHeight="1">
      <c r="A16" s="26">
        <v>9</v>
      </c>
      <c r="B16" s="46" t="s">
        <v>17</v>
      </c>
    </row>
    <row r="17" spans="1:2" ht="26">
      <c r="A17" s="25"/>
      <c r="B17" s="44" t="s">
        <v>18</v>
      </c>
    </row>
    <row r="18" spans="1:2" ht="38.25" customHeight="1">
      <c r="A18" s="26">
        <v>10</v>
      </c>
      <c r="B18" s="46" t="s">
        <v>19</v>
      </c>
    </row>
    <row r="19" spans="1:2" ht="37.5" customHeight="1">
      <c r="A19" s="26">
        <v>11</v>
      </c>
      <c r="B19" s="46" t="s">
        <v>20</v>
      </c>
    </row>
    <row r="20" spans="1:2">
      <c r="A20" s="26">
        <v>12</v>
      </c>
      <c r="B20" s="46" t="s">
        <v>21</v>
      </c>
    </row>
    <row r="21" spans="1:2" ht="25">
      <c r="A21" s="26">
        <v>13</v>
      </c>
      <c r="B21" s="46" t="s">
        <v>22</v>
      </c>
    </row>
    <row r="22" spans="1:2" ht="25">
      <c r="A22" s="26">
        <v>14</v>
      </c>
      <c r="B22" s="46" t="s">
        <v>23</v>
      </c>
    </row>
    <row r="23" spans="1:2" ht="25">
      <c r="A23" s="26">
        <v>15</v>
      </c>
      <c r="B23" s="46" t="s">
        <v>24</v>
      </c>
    </row>
    <row r="24" spans="1:2" ht="23.25" customHeight="1">
      <c r="A24" s="26">
        <v>16</v>
      </c>
      <c r="B24" s="46" t="s">
        <v>25</v>
      </c>
    </row>
    <row r="25" spans="1:2">
      <c r="A25" s="26">
        <v>17</v>
      </c>
      <c r="B25" s="46" t="s">
        <v>26</v>
      </c>
    </row>
    <row r="26" spans="1:2" ht="25">
      <c r="A26" s="26">
        <v>18</v>
      </c>
      <c r="B26" s="46" t="s">
        <v>27</v>
      </c>
    </row>
    <row r="27" spans="1:2">
      <c r="A27" s="26">
        <v>19</v>
      </c>
      <c r="B27" s="46" t="s">
        <v>28</v>
      </c>
    </row>
    <row r="28" spans="1:2">
      <c r="A28" s="26">
        <v>20</v>
      </c>
      <c r="B28" s="46" t="s">
        <v>29</v>
      </c>
    </row>
    <row r="29" spans="1:2" ht="23.25" customHeight="1">
      <c r="A29" s="26">
        <v>21</v>
      </c>
      <c r="B29" s="47" t="s">
        <v>30</v>
      </c>
    </row>
    <row r="30" spans="1:2" ht="25">
      <c r="A30" s="26">
        <v>22</v>
      </c>
      <c r="B30" s="46" t="s">
        <v>31</v>
      </c>
    </row>
    <row r="31" spans="1:2" ht="28.5" customHeight="1">
      <c r="A31" s="26">
        <v>23</v>
      </c>
      <c r="B31" s="48" t="s">
        <v>32</v>
      </c>
    </row>
    <row r="32" spans="1:2" ht="29">
      <c r="A32" s="26">
        <v>24</v>
      </c>
      <c r="B32" s="49" t="s">
        <v>33</v>
      </c>
    </row>
    <row r="33" spans="1:2">
      <c r="A33" s="26">
        <v>25</v>
      </c>
      <c r="B33" s="46" t="s">
        <v>34</v>
      </c>
    </row>
    <row r="34" spans="1:2" ht="25">
      <c r="A34" s="26">
        <v>26</v>
      </c>
      <c r="B34" s="46" t="s">
        <v>35</v>
      </c>
    </row>
    <row r="35" spans="1:2" ht="25">
      <c r="A35" s="26">
        <v>27</v>
      </c>
      <c r="B35" s="46" t="s">
        <v>36</v>
      </c>
    </row>
    <row r="36" spans="1:2" ht="32.25" customHeight="1">
      <c r="A36" s="26">
        <v>28</v>
      </c>
      <c r="B36" s="46" t="s">
        <v>37</v>
      </c>
    </row>
    <row r="37" spans="1:2" ht="37.5" customHeight="1">
      <c r="A37" s="26">
        <v>29</v>
      </c>
      <c r="B37" s="46" t="s">
        <v>38</v>
      </c>
    </row>
    <row r="38" spans="1:2" ht="21.75" customHeight="1">
      <c r="A38" s="26">
        <v>30</v>
      </c>
      <c r="B38" s="47" t="s">
        <v>39</v>
      </c>
    </row>
    <row r="39" spans="1:2" ht="26">
      <c r="A39" s="26"/>
      <c r="B39" s="37" t="s">
        <v>40</v>
      </c>
    </row>
    <row r="40" spans="1:2">
      <c r="A40" s="26">
        <v>31</v>
      </c>
      <c r="B40" s="35" t="s">
        <v>41</v>
      </c>
    </row>
    <row r="41" spans="1:2" ht="46.5" customHeight="1">
      <c r="A41" s="26">
        <v>32</v>
      </c>
      <c r="B41" s="38" t="s">
        <v>42</v>
      </c>
    </row>
    <row r="42" spans="1:2" ht="26">
      <c r="A42" s="25"/>
      <c r="B42" s="34" t="s">
        <v>43</v>
      </c>
    </row>
    <row r="43" spans="1:2">
      <c r="A43" s="26">
        <v>33</v>
      </c>
      <c r="B43" s="46" t="s">
        <v>44</v>
      </c>
    </row>
    <row r="44" spans="1:2">
      <c r="A44" s="26">
        <v>34</v>
      </c>
      <c r="B44" s="47" t="s">
        <v>45</v>
      </c>
    </row>
    <row r="45" spans="1:2" ht="25">
      <c r="A45" s="26">
        <v>35</v>
      </c>
      <c r="B45" s="46" t="s">
        <v>46</v>
      </c>
    </row>
    <row r="46" spans="1:2" ht="25">
      <c r="A46" s="26">
        <v>36</v>
      </c>
      <c r="B46" s="47" t="s">
        <v>47</v>
      </c>
    </row>
    <row r="47" spans="1:2">
      <c r="A47" s="26">
        <v>37</v>
      </c>
      <c r="B47" s="45" t="s">
        <v>48</v>
      </c>
    </row>
    <row r="48" spans="1:2">
      <c r="A48" s="26">
        <v>38</v>
      </c>
      <c r="B48" s="45" t="s">
        <v>49</v>
      </c>
    </row>
    <row r="49" spans="1:2" s="29" customFormat="1" ht="29">
      <c r="A49" s="26">
        <v>39</v>
      </c>
      <c r="B49" s="45" t="s">
        <v>50</v>
      </c>
    </row>
    <row r="51" spans="1:2">
      <c r="B51" s="39"/>
    </row>
    <row r="52" spans="1:2">
      <c r="B52" s="39"/>
    </row>
    <row r="53" spans="1:2">
      <c r="B53" s="39"/>
    </row>
    <row r="54" spans="1:2">
      <c r="B54" s="39"/>
    </row>
    <row r="55" spans="1:2">
      <c r="B55" s="39"/>
    </row>
  </sheetData>
  <sheetProtection algorithmName="SHA-512" hashValue="FSkBPcTYgL4NloyiC37EXGBrrN4rS2grBqtqC/jt4r4/Q1qC6KG+OTzKxQapLPqUWS/CryFRfRPvVtcIPrufgw==" saltValue="s4xzv0l4XNeKd09+QnkRB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8"/>
  <sheetViews>
    <sheetView tabSelected="1" topLeftCell="A346" zoomScale="85" zoomScaleNormal="85" workbookViewId="0">
      <selection activeCell="C366" sqref="C366"/>
    </sheetView>
  </sheetViews>
  <sheetFormatPr defaultColWidth="9.26953125" defaultRowHeight="15"/>
  <cols>
    <col min="1" max="1" width="7.81640625" style="50" bestFit="1" customWidth="1"/>
    <col min="2" max="2" width="22.7265625" style="1" bestFit="1" customWidth="1"/>
    <col min="3" max="3" width="99" style="2" customWidth="1"/>
    <col min="4" max="4" width="8.7265625" style="2" bestFit="1" customWidth="1"/>
    <col min="5" max="5" width="17.453125" style="221" bestFit="1" customWidth="1"/>
    <col min="6" max="6" width="14.81640625" style="1" hidden="1" customWidth="1"/>
    <col min="7" max="7" width="9.26953125" style="1" hidden="1" customWidth="1"/>
    <col min="8" max="8" width="12.1796875" style="83" customWidth="1"/>
    <col min="9" max="9" width="83.7265625" style="59" customWidth="1"/>
    <col min="10" max="10" width="36.1796875" style="58" customWidth="1"/>
    <col min="11" max="11" width="58.54296875" style="1" customWidth="1"/>
    <col min="12" max="16384" width="9.26953125" style="1"/>
  </cols>
  <sheetData>
    <row r="1" spans="1:10" ht="53" customHeight="1">
      <c r="A1" s="1"/>
      <c r="H1" s="84"/>
      <c r="I1" s="78"/>
    </row>
    <row r="2" spans="1:10" ht="29.5">
      <c r="A2" s="319" t="s">
        <v>894</v>
      </c>
      <c r="B2" s="319"/>
      <c r="C2" s="319"/>
      <c r="D2" s="3"/>
      <c r="E2" s="222"/>
      <c r="F2" s="3" t="s">
        <v>51</v>
      </c>
      <c r="G2" s="4">
        <f>COUNTIF(E9:E735,"1")</f>
        <v>11</v>
      </c>
    </row>
    <row r="3" spans="1:10" ht="33.5" customHeight="1">
      <c r="A3" s="319"/>
      <c r="B3" s="319"/>
      <c r="C3" s="319"/>
      <c r="D3" s="3"/>
      <c r="E3" s="222"/>
      <c r="F3" s="3" t="s">
        <v>52</v>
      </c>
      <c r="G3" s="4">
        <f>COUNTIF(E9:E735,"2")</f>
        <v>13</v>
      </c>
    </row>
    <row r="4" spans="1:10" ht="29.5">
      <c r="A4" s="95"/>
      <c r="F4" s="3" t="s">
        <v>888</v>
      </c>
      <c r="G4" s="4">
        <f>COUNTIF(E9:E736,"3")</f>
        <v>4</v>
      </c>
    </row>
    <row r="5" spans="1:10" ht="37">
      <c r="A5" s="122">
        <v>1</v>
      </c>
      <c r="B5" s="6"/>
      <c r="C5" s="6" t="s">
        <v>54</v>
      </c>
      <c r="D5" s="7"/>
      <c r="E5" s="223"/>
      <c r="F5" s="1" t="s">
        <v>53</v>
      </c>
    </row>
    <row r="6" spans="1:10">
      <c r="G6" s="8"/>
    </row>
    <row r="7" spans="1:10" ht="19.5" thickBot="1">
      <c r="A7" s="51" t="s">
        <v>55</v>
      </c>
      <c r="B7" s="9" t="s">
        <v>222</v>
      </c>
      <c r="C7" s="10" t="s">
        <v>56</v>
      </c>
      <c r="D7" s="11"/>
      <c r="E7" s="224"/>
      <c r="G7" s="8"/>
      <c r="H7" s="91" t="s">
        <v>61</v>
      </c>
      <c r="I7" s="92" t="s">
        <v>62</v>
      </c>
      <c r="J7" s="93" t="s">
        <v>220</v>
      </c>
    </row>
    <row r="8" spans="1:10" ht="29.5">
      <c r="A8" s="52" t="s">
        <v>57</v>
      </c>
      <c r="B8" s="12"/>
      <c r="C8" s="12" t="s">
        <v>58</v>
      </c>
      <c r="D8" s="12" t="s">
        <v>59</v>
      </c>
      <c r="E8" s="225" t="s">
        <v>628</v>
      </c>
    </row>
    <row r="9" spans="1:10" ht="29.5">
      <c r="A9" s="53" t="s">
        <v>63</v>
      </c>
      <c r="B9" s="14" t="s">
        <v>340</v>
      </c>
      <c r="C9" s="14" t="s">
        <v>890</v>
      </c>
      <c r="D9" s="14" t="s">
        <v>64</v>
      </c>
      <c r="E9" s="226"/>
    </row>
    <row r="10" spans="1:10" s="2" customFormat="1">
      <c r="A10" s="53" t="s">
        <v>65</v>
      </c>
      <c r="B10" s="14" t="s">
        <v>340</v>
      </c>
      <c r="C10" s="14" t="s">
        <v>824</v>
      </c>
      <c r="D10" s="14" t="s">
        <v>64</v>
      </c>
      <c r="E10" s="226"/>
      <c r="H10" s="86"/>
      <c r="I10" s="80"/>
      <c r="J10" s="56"/>
    </row>
    <row r="11" spans="1:10">
      <c r="A11" s="53" t="s">
        <v>66</v>
      </c>
      <c r="B11" s="14" t="s">
        <v>340</v>
      </c>
      <c r="C11" s="15" t="s">
        <v>825</v>
      </c>
      <c r="D11" s="14" t="s">
        <v>64</v>
      </c>
      <c r="E11" s="226"/>
    </row>
    <row r="12" spans="1:10" ht="58.5">
      <c r="A12" s="53" t="s">
        <v>67</v>
      </c>
      <c r="B12" s="14" t="s">
        <v>340</v>
      </c>
      <c r="C12" s="16" t="s">
        <v>826</v>
      </c>
      <c r="D12" s="14" t="s">
        <v>64</v>
      </c>
      <c r="E12" s="226"/>
    </row>
    <row r="13" spans="1:10">
      <c r="A13" s="53" t="s">
        <v>68</v>
      </c>
      <c r="B13" s="14" t="s">
        <v>340</v>
      </c>
      <c r="C13" s="14" t="s">
        <v>827</v>
      </c>
      <c r="D13" s="14" t="s">
        <v>64</v>
      </c>
      <c r="E13" s="226"/>
    </row>
    <row r="14" spans="1:10" ht="29.5">
      <c r="A14" s="53" t="s">
        <v>69</v>
      </c>
      <c r="B14" s="14" t="s">
        <v>335</v>
      </c>
      <c r="C14" s="14" t="s">
        <v>354</v>
      </c>
      <c r="D14" s="14" t="s">
        <v>64</v>
      </c>
      <c r="E14" s="226"/>
    </row>
    <row r="15" spans="1:10" ht="58.5">
      <c r="A15" s="53" t="s">
        <v>70</v>
      </c>
      <c r="B15" s="14" t="s">
        <v>335</v>
      </c>
      <c r="C15" s="14" t="s">
        <v>866</v>
      </c>
      <c r="D15" s="14" t="s">
        <v>64</v>
      </c>
      <c r="E15" s="226"/>
    </row>
    <row r="16" spans="1:10" ht="29.5">
      <c r="A16" s="53" t="s">
        <v>71</v>
      </c>
      <c r="B16" s="14" t="s">
        <v>335</v>
      </c>
      <c r="C16" s="14" t="s">
        <v>630</v>
      </c>
      <c r="D16" s="14" t="s">
        <v>64</v>
      </c>
      <c r="E16" s="226"/>
    </row>
    <row r="17" spans="1:11" ht="29.5">
      <c r="A17" s="53" t="s">
        <v>72</v>
      </c>
      <c r="B17" s="14" t="s">
        <v>335</v>
      </c>
      <c r="C17" s="31" t="s">
        <v>355</v>
      </c>
      <c r="D17" s="14" t="s">
        <v>64</v>
      </c>
      <c r="E17" s="226"/>
    </row>
    <row r="18" spans="1:11" ht="29.5">
      <c r="A18" s="55" t="s">
        <v>73</v>
      </c>
      <c r="B18" s="14" t="s">
        <v>338</v>
      </c>
      <c r="C18" s="14" t="s">
        <v>590</v>
      </c>
      <c r="D18" s="14" t="s">
        <v>64</v>
      </c>
      <c r="E18" s="226"/>
    </row>
    <row r="19" spans="1:11" ht="29.5">
      <c r="A19" s="107" t="s">
        <v>74</v>
      </c>
      <c r="B19" s="14" t="s">
        <v>338</v>
      </c>
      <c r="C19" s="18" t="s">
        <v>428</v>
      </c>
      <c r="D19" s="128" t="s">
        <v>64</v>
      </c>
      <c r="E19" s="227"/>
    </row>
    <row r="20" spans="1:11" ht="44">
      <c r="A20" s="53" t="s">
        <v>75</v>
      </c>
      <c r="B20" s="129" t="s">
        <v>338</v>
      </c>
      <c r="C20" s="129" t="s">
        <v>891</v>
      </c>
      <c r="D20" s="130" t="s">
        <v>76</v>
      </c>
      <c r="E20" s="228">
        <v>2</v>
      </c>
    </row>
    <row r="21" spans="1:11" ht="29.5">
      <c r="A21" s="53" t="s">
        <v>444</v>
      </c>
      <c r="B21" s="18" t="s">
        <v>338</v>
      </c>
      <c r="C21" s="18" t="s">
        <v>356</v>
      </c>
      <c r="D21" s="128" t="s">
        <v>64</v>
      </c>
      <c r="E21" s="227"/>
    </row>
    <row r="22" spans="1:11" ht="29.5">
      <c r="A22" s="53" t="s">
        <v>445</v>
      </c>
      <c r="B22" s="129" t="s">
        <v>335</v>
      </c>
      <c r="C22" s="129" t="s">
        <v>868</v>
      </c>
      <c r="D22" s="130" t="s">
        <v>64</v>
      </c>
      <c r="E22" s="228"/>
    </row>
    <row r="23" spans="1:11" ht="29.5">
      <c r="A23" s="53" t="s">
        <v>446</v>
      </c>
      <c r="B23" s="18" t="s">
        <v>335</v>
      </c>
      <c r="C23" s="18" t="s">
        <v>357</v>
      </c>
      <c r="D23" s="128" t="s">
        <v>64</v>
      </c>
      <c r="E23" s="227"/>
    </row>
    <row r="24" spans="1:11" ht="29.5">
      <c r="A24" s="53" t="s">
        <v>806</v>
      </c>
      <c r="B24" s="129" t="s">
        <v>404</v>
      </c>
      <c r="C24" s="171" t="s">
        <v>833</v>
      </c>
      <c r="D24" s="130" t="s">
        <v>64</v>
      </c>
      <c r="E24" s="228"/>
      <c r="I24" s="65"/>
      <c r="J24" s="79"/>
    </row>
    <row r="25" spans="1:11" s="58" customFormat="1" ht="87">
      <c r="A25" s="53" t="s">
        <v>447</v>
      </c>
      <c r="B25" s="155"/>
      <c r="C25" s="134" t="s">
        <v>821</v>
      </c>
      <c r="D25" s="155" t="s">
        <v>64</v>
      </c>
      <c r="E25" s="229" t="s">
        <v>811</v>
      </c>
    </row>
    <row r="26" spans="1:11" s="58" customFormat="1" ht="58">
      <c r="A26" s="53" t="s">
        <v>448</v>
      </c>
      <c r="B26" s="155"/>
      <c r="C26" s="170" t="s">
        <v>732</v>
      </c>
      <c r="D26" s="155" t="s">
        <v>64</v>
      </c>
      <c r="E26" s="229" t="s">
        <v>811</v>
      </c>
      <c r="K26" s="311"/>
    </row>
    <row r="27" spans="1:11" ht="29.5">
      <c r="A27" s="53" t="s">
        <v>449</v>
      </c>
      <c r="B27" s="31" t="s">
        <v>336</v>
      </c>
      <c r="C27" s="97" t="s">
        <v>799</v>
      </c>
      <c r="D27" s="301" t="s">
        <v>64</v>
      </c>
      <c r="E27" s="230"/>
      <c r="K27" s="311"/>
    </row>
    <row r="28" spans="1:11" ht="44">
      <c r="A28" s="53" t="s">
        <v>450</v>
      </c>
      <c r="B28" s="18" t="s">
        <v>336</v>
      </c>
      <c r="C28" s="18" t="s">
        <v>599</v>
      </c>
      <c r="D28" s="128" t="s">
        <v>64</v>
      </c>
      <c r="E28" s="227"/>
      <c r="K28" s="312"/>
    </row>
    <row r="29" spans="1:11" ht="29.5">
      <c r="A29" s="53" t="s">
        <v>451</v>
      </c>
      <c r="B29" s="18" t="s">
        <v>336</v>
      </c>
      <c r="C29" s="18" t="s">
        <v>835</v>
      </c>
      <c r="D29" s="128" t="s">
        <v>64</v>
      </c>
      <c r="E29" s="227"/>
      <c r="K29" s="312"/>
    </row>
    <row r="30" spans="1:11" ht="116">
      <c r="A30" s="53" t="s">
        <v>452</v>
      </c>
      <c r="B30" s="129" t="s">
        <v>337</v>
      </c>
      <c r="C30" s="293" t="s">
        <v>762</v>
      </c>
      <c r="D30" s="130" t="s">
        <v>64</v>
      </c>
      <c r="E30" s="228"/>
      <c r="I30" s="277"/>
      <c r="J30" s="59"/>
    </row>
    <row r="31" spans="1:11" ht="29.5">
      <c r="A31" s="53" t="s">
        <v>453</v>
      </c>
      <c r="B31" s="18" t="s">
        <v>337</v>
      </c>
      <c r="C31" s="18" t="s">
        <v>712</v>
      </c>
      <c r="D31" s="128" t="s">
        <v>64</v>
      </c>
      <c r="E31" s="227"/>
      <c r="I31" s="104"/>
      <c r="J31" s="59"/>
    </row>
    <row r="32" spans="1:11" s="58" customFormat="1" ht="43.5">
      <c r="A32" s="53" t="s">
        <v>454</v>
      </c>
      <c r="B32" s="155" t="s">
        <v>629</v>
      </c>
      <c r="C32" s="214" t="s">
        <v>798</v>
      </c>
      <c r="D32" s="302" t="s">
        <v>64</v>
      </c>
      <c r="E32" s="229"/>
      <c r="I32" s="59"/>
    </row>
    <row r="33" spans="1:11">
      <c r="A33" s="53" t="s">
        <v>455</v>
      </c>
      <c r="B33" s="31" t="s">
        <v>341</v>
      </c>
      <c r="C33" s="31" t="s">
        <v>869</v>
      </c>
      <c r="D33" s="131" t="s">
        <v>64</v>
      </c>
      <c r="E33" s="230"/>
    </row>
    <row r="34" spans="1:11">
      <c r="A34" s="53" t="s">
        <v>456</v>
      </c>
      <c r="B34" s="14"/>
      <c r="C34" s="14" t="s">
        <v>828</v>
      </c>
      <c r="D34" s="14" t="s">
        <v>64</v>
      </c>
      <c r="E34" s="226"/>
    </row>
    <row r="35" spans="1:11">
      <c r="A35" s="53" t="s">
        <v>457</v>
      </c>
      <c r="B35" s="18"/>
      <c r="C35" s="18" t="s">
        <v>358</v>
      </c>
      <c r="D35" s="128" t="s">
        <v>64</v>
      </c>
      <c r="E35" s="228"/>
    </row>
    <row r="36" spans="1:11" s="61" customFormat="1">
      <c r="A36" s="53" t="s">
        <v>458</v>
      </c>
      <c r="B36" s="16"/>
      <c r="C36" s="16" t="s">
        <v>693</v>
      </c>
      <c r="D36" s="16" t="s">
        <v>64</v>
      </c>
      <c r="E36" s="231"/>
      <c r="H36" s="85"/>
      <c r="I36" s="124"/>
      <c r="J36" s="79"/>
      <c r="K36" s="63"/>
    </row>
    <row r="37" spans="1:11" s="61" customFormat="1">
      <c r="A37" s="53" t="s">
        <v>640</v>
      </c>
      <c r="B37" s="16"/>
      <c r="C37" s="132" t="s">
        <v>633</v>
      </c>
      <c r="D37" s="16" t="s">
        <v>64</v>
      </c>
      <c r="E37" s="231"/>
      <c r="H37" s="85"/>
      <c r="I37" s="124"/>
      <c r="J37" s="79"/>
      <c r="K37" s="63"/>
    </row>
    <row r="38" spans="1:11">
      <c r="A38" s="53" t="s">
        <v>641</v>
      </c>
      <c r="B38" s="18"/>
      <c r="C38" s="18" t="s">
        <v>611</v>
      </c>
      <c r="D38" s="128" t="s">
        <v>64</v>
      </c>
      <c r="E38" s="227"/>
    </row>
    <row r="39" spans="1:11" ht="29.5">
      <c r="A39" s="53" t="s">
        <v>642</v>
      </c>
      <c r="B39" s="105"/>
      <c r="C39" s="126" t="s">
        <v>605</v>
      </c>
      <c r="D39" s="105" t="s">
        <v>64</v>
      </c>
      <c r="E39" s="232"/>
    </row>
    <row r="40" spans="1:11" ht="29.5">
      <c r="A40" s="53" t="s">
        <v>643</v>
      </c>
      <c r="B40" s="18"/>
      <c r="C40" s="133" t="s">
        <v>857</v>
      </c>
      <c r="D40" s="133" t="s">
        <v>64</v>
      </c>
      <c r="E40" s="233"/>
      <c r="J40" s="59"/>
    </row>
    <row r="41" spans="1:11" ht="29.5">
      <c r="A41" s="53" t="s">
        <v>644</v>
      </c>
      <c r="B41" s="18"/>
      <c r="C41" s="18" t="s">
        <v>695</v>
      </c>
      <c r="D41" s="18" t="s">
        <v>76</v>
      </c>
      <c r="E41" s="233">
        <v>1</v>
      </c>
      <c r="J41" s="59"/>
    </row>
    <row r="42" spans="1:11">
      <c r="A42" s="53" t="s">
        <v>714</v>
      </c>
      <c r="B42" s="18"/>
      <c r="C42" s="284" t="s">
        <v>830</v>
      </c>
      <c r="D42" s="18" t="s">
        <v>64</v>
      </c>
      <c r="E42" s="233"/>
      <c r="J42" s="59"/>
    </row>
    <row r="43" spans="1:11" ht="29.5">
      <c r="A43" s="53" t="s">
        <v>715</v>
      </c>
      <c r="B43" s="106"/>
      <c r="C43" s="106" t="s">
        <v>636</v>
      </c>
      <c r="D43" s="106" t="s">
        <v>64</v>
      </c>
      <c r="E43" s="232" t="s">
        <v>763</v>
      </c>
    </row>
    <row r="44" spans="1:11" ht="30" thickBot="1">
      <c r="A44" s="115" t="s">
        <v>716</v>
      </c>
      <c r="B44" s="114"/>
      <c r="C44" s="114" t="s">
        <v>743</v>
      </c>
      <c r="D44" s="114" t="s">
        <v>76</v>
      </c>
      <c r="E44" s="234">
        <v>1</v>
      </c>
    </row>
    <row r="45" spans="1:11">
      <c r="A45" s="54"/>
      <c r="B45" s="54"/>
      <c r="C45" s="54"/>
      <c r="D45" s="54"/>
      <c r="E45" s="235"/>
    </row>
    <row r="46" spans="1:11" ht="19.5" thickBot="1">
      <c r="A46" s="9" t="s">
        <v>77</v>
      </c>
      <c r="B46" s="9"/>
      <c r="C46" s="10" t="s">
        <v>78</v>
      </c>
      <c r="D46" s="11"/>
      <c r="E46" s="224"/>
    </row>
    <row r="47" spans="1:11">
      <c r="A47" s="52" t="s">
        <v>57</v>
      </c>
      <c r="B47" s="12"/>
      <c r="C47" s="12" t="s">
        <v>58</v>
      </c>
      <c r="D47" s="12" t="s">
        <v>59</v>
      </c>
      <c r="E47" s="225" t="s">
        <v>60</v>
      </c>
    </row>
    <row r="48" spans="1:11" ht="29.5">
      <c r="A48" s="53" t="s">
        <v>79</v>
      </c>
      <c r="B48" s="14"/>
      <c r="C48" s="14" t="s">
        <v>858</v>
      </c>
      <c r="D48" s="14" t="s">
        <v>64</v>
      </c>
      <c r="E48" s="226"/>
    </row>
    <row r="49" spans="1:10" ht="29">
      <c r="A49" s="53" t="s">
        <v>80</v>
      </c>
      <c r="B49" s="14"/>
      <c r="C49" s="291" t="s">
        <v>696</v>
      </c>
      <c r="D49" s="14" t="s">
        <v>64</v>
      </c>
      <c r="E49" s="226"/>
    </row>
    <row r="50" spans="1:10" ht="44">
      <c r="A50" s="53" t="s">
        <v>81</v>
      </c>
      <c r="B50" s="14"/>
      <c r="C50" s="14" t="s">
        <v>837</v>
      </c>
      <c r="D50" s="14" t="s">
        <v>64</v>
      </c>
      <c r="E50" s="226"/>
    </row>
    <row r="51" spans="1:10" ht="102">
      <c r="A51" s="53" t="s">
        <v>82</v>
      </c>
      <c r="B51" s="14"/>
      <c r="C51" s="14" t="s">
        <v>838</v>
      </c>
      <c r="D51" s="14" t="s">
        <v>64</v>
      </c>
      <c r="E51" s="226"/>
    </row>
    <row r="52" spans="1:10" ht="102">
      <c r="A52" s="53" t="s">
        <v>459</v>
      </c>
      <c r="B52" s="14"/>
      <c r="C52" s="14" t="s">
        <v>870</v>
      </c>
      <c r="D52" s="14" t="s">
        <v>64</v>
      </c>
      <c r="E52" s="226"/>
    </row>
    <row r="53" spans="1:10" ht="29.5">
      <c r="A53" s="53" t="s">
        <v>83</v>
      </c>
      <c r="B53" s="14"/>
      <c r="C53" s="14" t="s">
        <v>518</v>
      </c>
      <c r="D53" s="14" t="s">
        <v>64</v>
      </c>
      <c r="E53" s="226"/>
    </row>
    <row r="54" spans="1:10" ht="29.5">
      <c r="A54" s="53" t="s">
        <v>84</v>
      </c>
      <c r="B54" s="14"/>
      <c r="C54" s="14" t="s">
        <v>419</v>
      </c>
      <c r="D54" s="14" t="s">
        <v>64</v>
      </c>
      <c r="E54" s="226"/>
    </row>
    <row r="55" spans="1:10" s="61" customFormat="1" ht="29.5">
      <c r="A55" s="53" t="s">
        <v>85</v>
      </c>
      <c r="B55" s="16"/>
      <c r="C55" s="16" t="s">
        <v>359</v>
      </c>
      <c r="D55" s="16" t="s">
        <v>64</v>
      </c>
      <c r="E55" s="231"/>
      <c r="H55" s="85"/>
      <c r="I55" s="65"/>
      <c r="J55" s="79"/>
    </row>
    <row r="56" spans="1:10" s="61" customFormat="1" ht="29.5">
      <c r="A56" s="53" t="s">
        <v>86</v>
      </c>
      <c r="B56" s="16"/>
      <c r="C56" s="16" t="s">
        <v>800</v>
      </c>
      <c r="D56" s="16" t="s">
        <v>64</v>
      </c>
      <c r="E56" s="231"/>
      <c r="H56" s="85"/>
      <c r="I56" s="65"/>
      <c r="J56" s="79"/>
    </row>
    <row r="57" spans="1:10">
      <c r="A57" s="53" t="s">
        <v>87</v>
      </c>
      <c r="B57" s="14"/>
      <c r="C57" s="14" t="s">
        <v>89</v>
      </c>
      <c r="D57" s="14" t="s">
        <v>64</v>
      </c>
      <c r="E57" s="226"/>
    </row>
    <row r="58" spans="1:10">
      <c r="A58" s="53" t="s">
        <v>88</v>
      </c>
      <c r="B58" s="14"/>
      <c r="C58" s="14" t="s">
        <v>889</v>
      </c>
      <c r="D58" s="14" t="s">
        <v>64</v>
      </c>
      <c r="E58" s="226"/>
    </row>
    <row r="59" spans="1:10" ht="160">
      <c r="A59" s="53" t="s">
        <v>90</v>
      </c>
      <c r="B59" s="14" t="s">
        <v>340</v>
      </c>
      <c r="C59" s="14" t="s">
        <v>606</v>
      </c>
      <c r="D59" s="14" t="s">
        <v>64</v>
      </c>
      <c r="E59" s="226" t="s">
        <v>763</v>
      </c>
    </row>
    <row r="60" spans="1:10">
      <c r="A60" s="53" t="s">
        <v>460</v>
      </c>
      <c r="B60" s="31"/>
      <c r="C60" s="135" t="s">
        <v>619</v>
      </c>
      <c r="D60" s="31" t="s">
        <v>64</v>
      </c>
      <c r="E60" s="233"/>
    </row>
    <row r="61" spans="1:10">
      <c r="A61" s="53" t="s">
        <v>461</v>
      </c>
      <c r="B61" s="31"/>
      <c r="C61" s="18" t="s">
        <v>836</v>
      </c>
      <c r="D61" s="18" t="s">
        <v>64</v>
      </c>
      <c r="E61" s="236"/>
    </row>
    <row r="62" spans="1:10" ht="29.5">
      <c r="A62" s="53" t="s">
        <v>91</v>
      </c>
      <c r="B62" s="31"/>
      <c r="C62" s="18" t="s">
        <v>839</v>
      </c>
      <c r="D62" s="18" t="s">
        <v>76</v>
      </c>
      <c r="E62" s="237">
        <v>2</v>
      </c>
      <c r="H62" s="82"/>
    </row>
    <row r="63" spans="1:10">
      <c r="A63" s="53" t="s">
        <v>462</v>
      </c>
      <c r="B63" s="136"/>
      <c r="C63" s="137" t="s">
        <v>840</v>
      </c>
      <c r="D63" s="138" t="s">
        <v>76</v>
      </c>
      <c r="E63" s="238">
        <v>1</v>
      </c>
    </row>
    <row r="64" spans="1:10">
      <c r="A64" s="53" t="s">
        <v>463</v>
      </c>
      <c r="B64" s="18"/>
      <c r="C64" s="18" t="s">
        <v>360</v>
      </c>
      <c r="D64" s="128" t="s">
        <v>64</v>
      </c>
      <c r="E64" s="227"/>
    </row>
    <row r="65" spans="1:10" ht="29.5">
      <c r="A65" s="53" t="s">
        <v>464</v>
      </c>
      <c r="B65" s="105"/>
      <c r="C65" s="105" t="s">
        <v>871</v>
      </c>
      <c r="D65" s="105" t="s">
        <v>64</v>
      </c>
      <c r="E65" s="239"/>
    </row>
    <row r="66" spans="1:10" ht="29">
      <c r="A66" s="53" t="s">
        <v>465</v>
      </c>
      <c r="B66" s="18" t="s">
        <v>623</v>
      </c>
      <c r="C66" s="140" t="s">
        <v>841</v>
      </c>
      <c r="D66" s="18" t="s">
        <v>76</v>
      </c>
      <c r="E66" s="233">
        <v>1</v>
      </c>
      <c r="I66" s="65"/>
      <c r="J66" s="79"/>
    </row>
    <row r="67" spans="1:10" ht="29">
      <c r="A67" s="53" t="s">
        <v>466</v>
      </c>
      <c r="B67" s="129"/>
      <c r="C67" s="141" t="s">
        <v>634</v>
      </c>
      <c r="D67" s="129" t="s">
        <v>64</v>
      </c>
      <c r="E67" s="240"/>
    </row>
    <row r="68" spans="1:10" ht="43.5">
      <c r="A68" s="53" t="s">
        <v>645</v>
      </c>
      <c r="B68" s="18"/>
      <c r="C68" s="290" t="s">
        <v>708</v>
      </c>
      <c r="D68" s="18" t="s">
        <v>64</v>
      </c>
      <c r="E68" s="233"/>
    </row>
    <row r="69" spans="1:10">
      <c r="A69" s="53" t="s">
        <v>646</v>
      </c>
      <c r="B69" s="23"/>
      <c r="C69" s="23" t="s">
        <v>842</v>
      </c>
      <c r="D69" s="21" t="s">
        <v>64</v>
      </c>
      <c r="E69" s="241"/>
    </row>
    <row r="70" spans="1:10">
      <c r="A70" s="53" t="s">
        <v>647</v>
      </c>
      <c r="B70" s="129"/>
      <c r="C70" s="141" t="s">
        <v>624</v>
      </c>
      <c r="D70" s="129" t="s">
        <v>64</v>
      </c>
      <c r="E70" s="240"/>
    </row>
    <row r="71" spans="1:10" ht="43.5">
      <c r="A71" s="53" t="s">
        <v>648</v>
      </c>
      <c r="B71" s="18"/>
      <c r="C71" s="142" t="s">
        <v>747</v>
      </c>
      <c r="D71" s="18" t="s">
        <v>76</v>
      </c>
      <c r="E71" s="233">
        <v>2</v>
      </c>
    </row>
    <row r="72" spans="1:10" ht="44" thickBot="1">
      <c r="A72" s="115" t="s">
        <v>807</v>
      </c>
      <c r="B72" s="143"/>
      <c r="C72" s="144" t="s">
        <v>678</v>
      </c>
      <c r="D72" s="143" t="s">
        <v>64</v>
      </c>
      <c r="E72" s="242"/>
    </row>
    <row r="73" spans="1:10">
      <c r="A73" s="54"/>
      <c r="B73" s="54"/>
      <c r="C73" s="118"/>
      <c r="D73" s="54"/>
      <c r="E73" s="235"/>
      <c r="I73" s="108"/>
    </row>
    <row r="74" spans="1:10" ht="19.5" thickBot="1">
      <c r="A74" s="9" t="s">
        <v>92</v>
      </c>
      <c r="B74" s="9"/>
      <c r="C74" s="10" t="s">
        <v>93</v>
      </c>
      <c r="D74" s="11"/>
      <c r="E74" s="224"/>
    </row>
    <row r="75" spans="1:10">
      <c r="A75" s="52" t="s">
        <v>57</v>
      </c>
      <c r="B75" s="12"/>
      <c r="C75" s="12" t="s">
        <v>58</v>
      </c>
      <c r="D75" s="12" t="s">
        <v>59</v>
      </c>
      <c r="E75" s="225" t="s">
        <v>60</v>
      </c>
    </row>
    <row r="76" spans="1:10" ht="44">
      <c r="A76" s="53" t="s">
        <v>94</v>
      </c>
      <c r="B76" s="14"/>
      <c r="C76" s="16" t="s">
        <v>635</v>
      </c>
      <c r="D76" s="14" t="s">
        <v>64</v>
      </c>
      <c r="E76" s="226" t="s">
        <v>763</v>
      </c>
    </row>
    <row r="77" spans="1:10">
      <c r="A77" s="53" t="s">
        <v>95</v>
      </c>
      <c r="B77" s="14"/>
      <c r="C77" s="14" t="s">
        <v>686</v>
      </c>
      <c r="D77" s="14" t="s">
        <v>64</v>
      </c>
      <c r="E77" s="226" t="s">
        <v>763</v>
      </c>
    </row>
    <row r="78" spans="1:10">
      <c r="A78" s="53" t="s">
        <v>96</v>
      </c>
      <c r="B78" s="14"/>
      <c r="C78" s="14" t="s">
        <v>707</v>
      </c>
      <c r="D78" s="14" t="s">
        <v>76</v>
      </c>
      <c r="E78" s="226">
        <v>3</v>
      </c>
    </row>
    <row r="79" spans="1:10" ht="29.5">
      <c r="A79" s="107" t="s">
        <v>467</v>
      </c>
      <c r="B79" s="23"/>
      <c r="C79" s="23" t="s">
        <v>361</v>
      </c>
      <c r="D79" s="21" t="s">
        <v>64</v>
      </c>
      <c r="E79" s="241" t="s">
        <v>763</v>
      </c>
    </row>
    <row r="80" spans="1:10" ht="29.5">
      <c r="A80" s="53" t="s">
        <v>468</v>
      </c>
      <c r="B80" s="139"/>
      <c r="C80" s="145" t="s">
        <v>859</v>
      </c>
      <c r="D80" s="146" t="s">
        <v>64</v>
      </c>
      <c r="E80" s="243" t="s">
        <v>763</v>
      </c>
    </row>
    <row r="81" spans="1:10">
      <c r="A81" s="53" t="s">
        <v>755</v>
      </c>
      <c r="B81" s="139"/>
      <c r="C81" s="147" t="s">
        <v>362</v>
      </c>
      <c r="D81" s="139" t="s">
        <v>64</v>
      </c>
      <c r="E81" s="244"/>
    </row>
    <row r="82" spans="1:10" ht="30" thickBot="1">
      <c r="A82" s="115" t="s">
        <v>469</v>
      </c>
      <c r="B82" s="143"/>
      <c r="C82" s="150" t="s">
        <v>679</v>
      </c>
      <c r="D82" s="143" t="s">
        <v>76</v>
      </c>
      <c r="E82" s="242">
        <v>2</v>
      </c>
    </row>
    <row r="83" spans="1:10">
      <c r="A83" s="54"/>
      <c r="B83" s="54"/>
      <c r="C83" s="57"/>
      <c r="D83" s="54"/>
      <c r="E83" s="235"/>
    </row>
    <row r="84" spans="1:10" ht="19.5" thickBot="1">
      <c r="A84" s="70" t="s">
        <v>97</v>
      </c>
      <c r="B84" s="70"/>
      <c r="C84" s="10" t="s">
        <v>98</v>
      </c>
      <c r="D84" s="19"/>
      <c r="E84" s="245"/>
    </row>
    <row r="85" spans="1:10">
      <c r="A85" s="52" t="s">
        <v>57</v>
      </c>
      <c r="B85" s="12"/>
      <c r="C85" s="12" t="s">
        <v>58</v>
      </c>
      <c r="D85" s="12" t="s">
        <v>59</v>
      </c>
      <c r="E85" s="225" t="s">
        <v>60</v>
      </c>
    </row>
    <row r="86" spans="1:10">
      <c r="A86" s="53" t="s">
        <v>99</v>
      </c>
      <c r="B86" s="14"/>
      <c r="C86" s="14" t="s">
        <v>879</v>
      </c>
      <c r="D86" s="14" t="s">
        <v>64</v>
      </c>
      <c r="E86" s="226"/>
    </row>
    <row r="87" spans="1:10" ht="44">
      <c r="A87" s="53" t="s">
        <v>100</v>
      </c>
      <c r="B87" s="14"/>
      <c r="C87" s="14" t="s">
        <v>609</v>
      </c>
      <c r="D87" s="14" t="s">
        <v>64</v>
      </c>
      <c r="E87" s="226"/>
    </row>
    <row r="88" spans="1:10">
      <c r="A88" s="53" t="s">
        <v>101</v>
      </c>
      <c r="B88" s="18"/>
      <c r="C88" s="289" t="s">
        <v>363</v>
      </c>
      <c r="D88" s="128" t="s">
        <v>64</v>
      </c>
      <c r="E88" s="233"/>
      <c r="I88" s="58"/>
      <c r="J88" s="59"/>
    </row>
    <row r="89" spans="1:10" ht="29.5">
      <c r="A89" s="53" t="s">
        <v>102</v>
      </c>
      <c r="B89" s="14"/>
      <c r="C89" s="30" t="s">
        <v>610</v>
      </c>
      <c r="D89" s="31" t="s">
        <v>64</v>
      </c>
      <c r="E89" s="233"/>
    </row>
    <row r="90" spans="1:10" ht="29.5">
      <c r="A90" s="53" t="s">
        <v>103</v>
      </c>
      <c r="B90" s="14"/>
      <c r="C90" s="14" t="s">
        <v>880</v>
      </c>
      <c r="D90" s="14" t="s">
        <v>64</v>
      </c>
      <c r="E90" s="226"/>
    </row>
    <row r="91" spans="1:10">
      <c r="A91" s="53" t="s">
        <v>470</v>
      </c>
      <c r="B91" s="18"/>
      <c r="C91" s="148" t="s">
        <v>616</v>
      </c>
      <c r="D91" s="128" t="s">
        <v>64</v>
      </c>
      <c r="E91" s="233"/>
    </row>
    <row r="92" spans="1:10" ht="15.5" thickBot="1">
      <c r="A92" s="115" t="s">
        <v>471</v>
      </c>
      <c r="B92" s="143"/>
      <c r="C92" s="150" t="s">
        <v>892</v>
      </c>
      <c r="D92" s="151" t="s">
        <v>64</v>
      </c>
      <c r="E92" s="246"/>
    </row>
    <row r="93" spans="1:10">
      <c r="A93" s="54"/>
      <c r="B93" s="54"/>
      <c r="C93" s="57"/>
      <c r="D93" s="54"/>
      <c r="E93" s="235"/>
    </row>
    <row r="94" spans="1:10" ht="19.5" thickBot="1">
      <c r="A94" s="9" t="s">
        <v>104</v>
      </c>
      <c r="B94" s="9"/>
      <c r="C94" s="10" t="s">
        <v>105</v>
      </c>
      <c r="D94" s="11"/>
      <c r="E94" s="224"/>
      <c r="H94" s="78"/>
    </row>
    <row r="95" spans="1:10">
      <c r="A95" s="52" t="s">
        <v>57</v>
      </c>
      <c r="B95" s="12"/>
      <c r="C95" s="12" t="s">
        <v>58</v>
      </c>
      <c r="D95" s="12" t="s">
        <v>59</v>
      </c>
      <c r="E95" s="225" t="s">
        <v>60</v>
      </c>
      <c r="F95" s="17"/>
    </row>
    <row r="96" spans="1:10">
      <c r="A96" s="53" t="s">
        <v>106</v>
      </c>
      <c r="B96" s="14"/>
      <c r="C96" s="14" t="s">
        <v>364</v>
      </c>
      <c r="D96" s="14" t="s">
        <v>64</v>
      </c>
      <c r="E96" s="226"/>
    </row>
    <row r="97" spans="1:10">
      <c r="A97" s="53" t="s">
        <v>107</v>
      </c>
      <c r="B97" s="14"/>
      <c r="C97" s="14" t="s">
        <v>617</v>
      </c>
      <c r="D97" s="14" t="s">
        <v>64</v>
      </c>
      <c r="E97" s="226"/>
    </row>
    <row r="98" spans="1:10">
      <c r="A98" s="53" t="s">
        <v>108</v>
      </c>
      <c r="B98" s="14"/>
      <c r="C98" s="14" t="s">
        <v>365</v>
      </c>
      <c r="D98" s="14" t="s">
        <v>64</v>
      </c>
      <c r="E98" s="226"/>
    </row>
    <row r="99" spans="1:10">
      <c r="A99" s="53" t="s">
        <v>109</v>
      </c>
      <c r="B99" s="14"/>
      <c r="C99" s="14" t="s">
        <v>366</v>
      </c>
      <c r="D99" s="14" t="s">
        <v>64</v>
      </c>
      <c r="E99" s="226"/>
    </row>
    <row r="100" spans="1:10" s="61" customFormat="1" ht="29.5">
      <c r="A100" s="53" t="s">
        <v>110</v>
      </c>
      <c r="B100" s="16"/>
      <c r="C100" s="110" t="s">
        <v>367</v>
      </c>
      <c r="D100" s="16" t="s">
        <v>64</v>
      </c>
      <c r="E100" s="231"/>
      <c r="H100" s="85"/>
      <c r="I100" s="65"/>
      <c r="J100" s="65"/>
    </row>
    <row r="101" spans="1:10" s="61" customFormat="1">
      <c r="A101" s="53" t="s">
        <v>756</v>
      </c>
      <c r="B101" s="16"/>
      <c r="C101" s="126" t="s">
        <v>368</v>
      </c>
      <c r="D101" s="16" t="s">
        <v>64</v>
      </c>
      <c r="E101" s="231"/>
      <c r="H101" s="79"/>
      <c r="I101" s="81"/>
      <c r="J101" s="79"/>
    </row>
    <row r="102" spans="1:10" s="61" customFormat="1" ht="29">
      <c r="A102" s="53" t="s">
        <v>111</v>
      </c>
      <c r="B102" s="16"/>
      <c r="C102" s="198" t="s">
        <v>697</v>
      </c>
      <c r="D102" s="16" t="s">
        <v>76</v>
      </c>
      <c r="E102" s="231">
        <v>1</v>
      </c>
      <c r="H102" s="79"/>
      <c r="I102" s="65"/>
      <c r="J102" s="79"/>
    </row>
    <row r="103" spans="1:10" s="61" customFormat="1">
      <c r="A103" s="53" t="s">
        <v>112</v>
      </c>
      <c r="B103" s="16"/>
      <c r="C103" s="142" t="s">
        <v>680</v>
      </c>
      <c r="D103" s="16" t="s">
        <v>76</v>
      </c>
      <c r="E103" s="231">
        <v>1</v>
      </c>
      <c r="H103" s="79"/>
      <c r="I103" s="65"/>
      <c r="J103" s="79"/>
    </row>
    <row r="104" spans="1:10" s="61" customFormat="1" ht="29.5">
      <c r="A104" s="53" t="s">
        <v>113</v>
      </c>
      <c r="B104" s="16"/>
      <c r="C104" s="16" t="s">
        <v>369</v>
      </c>
      <c r="D104" s="16" t="s">
        <v>64</v>
      </c>
      <c r="E104" s="231"/>
      <c r="H104" s="85"/>
      <c r="I104" s="65"/>
      <c r="J104" s="79"/>
    </row>
    <row r="105" spans="1:10" s="61" customFormat="1" ht="29.5">
      <c r="A105" s="53" t="s">
        <v>114</v>
      </c>
      <c r="B105" s="16"/>
      <c r="C105" s="16" t="s">
        <v>843</v>
      </c>
      <c r="D105" s="16" t="s">
        <v>76</v>
      </c>
      <c r="E105" s="231">
        <v>1</v>
      </c>
      <c r="H105" s="85"/>
      <c r="I105" s="65"/>
      <c r="J105" s="79"/>
    </row>
    <row r="106" spans="1:10" s="61" customFormat="1" ht="29.5">
      <c r="A106" s="53" t="s">
        <v>115</v>
      </c>
      <c r="B106" s="16"/>
      <c r="C106" s="16" t="s">
        <v>370</v>
      </c>
      <c r="D106" s="16" t="s">
        <v>64</v>
      </c>
      <c r="E106" s="231"/>
      <c r="H106" s="85"/>
      <c r="I106" s="65"/>
      <c r="J106" s="79"/>
    </row>
    <row r="107" spans="1:10" s="61" customFormat="1" ht="232.5">
      <c r="A107" s="53" t="s">
        <v>117</v>
      </c>
      <c r="B107" s="16"/>
      <c r="C107" s="16" t="s">
        <v>612</v>
      </c>
      <c r="D107" s="16" t="s">
        <v>64</v>
      </c>
      <c r="E107" s="231"/>
      <c r="H107" s="85"/>
      <c r="I107" s="79"/>
      <c r="J107" s="79"/>
    </row>
    <row r="108" spans="1:10" ht="160">
      <c r="A108" s="53" t="s">
        <v>118</v>
      </c>
      <c r="B108" s="14"/>
      <c r="C108" s="14" t="s">
        <v>760</v>
      </c>
      <c r="D108" s="14" t="s">
        <v>64</v>
      </c>
      <c r="E108" s="226"/>
    </row>
    <row r="109" spans="1:10" ht="29.5">
      <c r="A109" s="53" t="s">
        <v>119</v>
      </c>
      <c r="B109" s="14"/>
      <c r="C109" s="14" t="s">
        <v>116</v>
      </c>
      <c r="D109" s="14" t="s">
        <v>64</v>
      </c>
      <c r="E109" s="226"/>
    </row>
    <row r="110" spans="1:10" ht="29.5">
      <c r="A110" s="53" t="s">
        <v>120</v>
      </c>
      <c r="B110" s="14"/>
      <c r="C110" s="14" t="s">
        <v>200</v>
      </c>
      <c r="D110" s="14" t="s">
        <v>64</v>
      </c>
      <c r="E110" s="226"/>
    </row>
    <row r="111" spans="1:10" ht="29.5">
      <c r="A111" s="53" t="s">
        <v>121</v>
      </c>
      <c r="B111" s="14"/>
      <c r="C111" s="14" t="s">
        <v>371</v>
      </c>
      <c r="D111" s="14" t="s">
        <v>64</v>
      </c>
      <c r="E111" s="226"/>
    </row>
    <row r="112" spans="1:10">
      <c r="A112" s="53" t="s">
        <v>472</v>
      </c>
      <c r="B112" s="14"/>
      <c r="C112" s="305" t="s">
        <v>420</v>
      </c>
      <c r="D112" s="14" t="s">
        <v>76</v>
      </c>
      <c r="E112" s="226">
        <v>2</v>
      </c>
    </row>
    <row r="113" spans="1:9" ht="29.5">
      <c r="A113" s="53" t="s">
        <v>473</v>
      </c>
      <c r="B113" s="14"/>
      <c r="C113" s="14" t="s">
        <v>372</v>
      </c>
      <c r="D113" s="14" t="s">
        <v>64</v>
      </c>
      <c r="E113" s="226"/>
    </row>
    <row r="114" spans="1:9">
      <c r="A114" s="53" t="s">
        <v>474</v>
      </c>
      <c r="B114" s="14"/>
      <c r="C114" s="14" t="s">
        <v>607</v>
      </c>
      <c r="D114" s="14" t="s">
        <v>64</v>
      </c>
      <c r="E114" s="226"/>
    </row>
    <row r="115" spans="1:9">
      <c r="A115" s="53" t="s">
        <v>649</v>
      </c>
      <c r="B115" s="31"/>
      <c r="C115" s="31" t="s">
        <v>881</v>
      </c>
      <c r="D115" s="31" t="s">
        <v>64</v>
      </c>
      <c r="E115" s="233"/>
    </row>
    <row r="116" spans="1:9">
      <c r="A116" s="53" t="s">
        <v>650</v>
      </c>
      <c r="B116" s="139"/>
      <c r="C116" s="139" t="s">
        <v>201</v>
      </c>
      <c r="D116" s="146" t="s">
        <v>64</v>
      </c>
      <c r="E116" s="244"/>
    </row>
    <row r="117" spans="1:9" ht="29.5">
      <c r="A117" s="53" t="s">
        <v>651</v>
      </c>
      <c r="B117" s="139"/>
      <c r="C117" s="147" t="s">
        <v>877</v>
      </c>
      <c r="D117" s="139" t="s">
        <v>64</v>
      </c>
      <c r="E117" s="244"/>
    </row>
    <row r="118" spans="1:9">
      <c r="A118" s="53" t="s">
        <v>652</v>
      </c>
      <c r="B118" s="18"/>
      <c r="C118" s="152" t="s">
        <v>618</v>
      </c>
      <c r="D118" s="18" t="s">
        <v>64</v>
      </c>
      <c r="E118" s="233"/>
    </row>
    <row r="119" spans="1:9">
      <c r="A119" s="53" t="s">
        <v>653</v>
      </c>
      <c r="B119" s="18"/>
      <c r="C119" s="140" t="s">
        <v>358</v>
      </c>
      <c r="D119" s="18" t="s">
        <v>64</v>
      </c>
      <c r="E119" s="233"/>
    </row>
    <row r="120" spans="1:9">
      <c r="A120" s="53" t="s">
        <v>757</v>
      </c>
      <c r="B120" s="18"/>
      <c r="C120" s="152" t="s">
        <v>698</v>
      </c>
      <c r="D120" s="18" t="s">
        <v>64</v>
      </c>
      <c r="E120" s="233"/>
    </row>
    <row r="121" spans="1:9" s="58" customFormat="1" ht="43.5">
      <c r="A121" s="53" t="s">
        <v>654</v>
      </c>
      <c r="B121" s="129"/>
      <c r="C121" s="303" t="s">
        <v>801</v>
      </c>
      <c r="D121" s="129" t="s">
        <v>76</v>
      </c>
      <c r="E121" s="240">
        <v>2</v>
      </c>
      <c r="H121" s="83"/>
      <c r="I121" s="59"/>
    </row>
    <row r="122" spans="1:9" ht="15.5" thickBot="1">
      <c r="A122" s="115" t="s">
        <v>655</v>
      </c>
      <c r="B122" s="143"/>
      <c r="C122" s="154" t="s">
        <v>627</v>
      </c>
      <c r="D122" s="143" t="s">
        <v>64</v>
      </c>
      <c r="E122" s="242"/>
    </row>
    <row r="123" spans="1:9">
      <c r="A123" s="62"/>
      <c r="B123" s="54"/>
      <c r="C123" s="29"/>
      <c r="D123" s="54"/>
      <c r="E123" s="235"/>
    </row>
    <row r="124" spans="1:9" ht="19.5" thickBot="1">
      <c r="A124" s="9" t="s">
        <v>122</v>
      </c>
      <c r="B124" s="9"/>
      <c r="C124" s="10" t="s">
        <v>123</v>
      </c>
      <c r="D124" s="11"/>
      <c r="E124" s="224"/>
    </row>
    <row r="125" spans="1:9">
      <c r="A125" s="52" t="s">
        <v>57</v>
      </c>
      <c r="B125" s="12"/>
      <c r="C125" s="12" t="s">
        <v>58</v>
      </c>
      <c r="D125" s="12" t="s">
        <v>59</v>
      </c>
      <c r="E125" s="225" t="s">
        <v>60</v>
      </c>
    </row>
    <row r="126" spans="1:9" ht="29.5">
      <c r="A126" s="53" t="s">
        <v>124</v>
      </c>
      <c r="B126" s="14"/>
      <c r="C126" s="16" t="s">
        <v>731</v>
      </c>
      <c r="D126" s="14" t="s">
        <v>64</v>
      </c>
      <c r="E126" s="226"/>
    </row>
    <row r="127" spans="1:9">
      <c r="A127" s="53" t="s">
        <v>125</v>
      </c>
      <c r="B127" s="14"/>
      <c r="C127" s="14" t="s">
        <v>589</v>
      </c>
      <c r="D127" s="14" t="s">
        <v>64</v>
      </c>
      <c r="E127" s="226"/>
      <c r="H127" s="78"/>
    </row>
    <row r="128" spans="1:9" ht="116.5">
      <c r="A128" s="53" t="s">
        <v>126</v>
      </c>
      <c r="B128" s="14"/>
      <c r="C128" s="14" t="s">
        <v>613</v>
      </c>
      <c r="D128" s="14" t="s">
        <v>64</v>
      </c>
      <c r="E128" s="226"/>
      <c r="H128" s="78"/>
    </row>
    <row r="129" spans="1:9">
      <c r="A129" s="127" t="s">
        <v>127</v>
      </c>
      <c r="B129" s="105"/>
      <c r="C129" s="105" t="s">
        <v>202</v>
      </c>
      <c r="D129" s="105" t="s">
        <v>64</v>
      </c>
      <c r="E129" s="232"/>
    </row>
    <row r="130" spans="1:9" s="58" customFormat="1" ht="29">
      <c r="A130" s="107" t="s">
        <v>128</v>
      </c>
      <c r="B130" s="217"/>
      <c r="C130" s="165" t="s">
        <v>632</v>
      </c>
      <c r="D130" s="218" t="s">
        <v>76</v>
      </c>
      <c r="E130" s="229">
        <v>2</v>
      </c>
      <c r="H130" s="83"/>
      <c r="I130" s="59"/>
    </row>
    <row r="131" spans="1:9" ht="29.5">
      <c r="A131" s="107" t="s">
        <v>129</v>
      </c>
      <c r="B131" s="14"/>
      <c r="C131" s="14" t="s">
        <v>203</v>
      </c>
      <c r="D131" s="14" t="s">
        <v>64</v>
      </c>
      <c r="E131" s="247" t="s">
        <v>761</v>
      </c>
    </row>
    <row r="132" spans="1:9" ht="15.5" thickBot="1">
      <c r="A132" s="116" t="s">
        <v>721</v>
      </c>
      <c r="B132" s="114"/>
      <c r="C132" s="114" t="s">
        <v>204</v>
      </c>
      <c r="D132" s="114" t="s">
        <v>64</v>
      </c>
      <c r="E132" s="234"/>
    </row>
    <row r="133" spans="1:9">
      <c r="A133" s="54"/>
      <c r="B133" s="54"/>
      <c r="C133" s="54"/>
      <c r="D133" s="54"/>
      <c r="E133" s="235"/>
    </row>
    <row r="134" spans="1:9" ht="19.5" thickBot="1">
      <c r="A134" s="9" t="s">
        <v>130</v>
      </c>
      <c r="B134" s="9"/>
      <c r="C134" s="10" t="s">
        <v>131</v>
      </c>
      <c r="D134" s="11"/>
      <c r="E134" s="224"/>
      <c r="H134" s="87"/>
    </row>
    <row r="135" spans="1:9">
      <c r="A135" s="52" t="s">
        <v>57</v>
      </c>
      <c r="B135" s="12"/>
      <c r="C135" s="12" t="s">
        <v>58</v>
      </c>
      <c r="D135" s="12" t="s">
        <v>59</v>
      </c>
      <c r="E135" s="248" t="s">
        <v>60</v>
      </c>
      <c r="H135" s="87"/>
    </row>
    <row r="136" spans="1:9">
      <c r="A136" s="53" t="s">
        <v>132</v>
      </c>
      <c r="B136" s="14"/>
      <c r="C136" s="14" t="s">
        <v>421</v>
      </c>
      <c r="D136" s="14" t="s">
        <v>64</v>
      </c>
      <c r="E136" s="226"/>
    </row>
    <row r="137" spans="1:9">
      <c r="A137" s="53" t="s">
        <v>133</v>
      </c>
      <c r="B137" s="14"/>
      <c r="C137" s="283" t="s">
        <v>422</v>
      </c>
      <c r="D137" s="14" t="s">
        <v>64</v>
      </c>
      <c r="E137" s="226"/>
    </row>
    <row r="138" spans="1:9">
      <c r="A138" s="53" t="s">
        <v>475</v>
      </c>
      <c r="B138" s="14"/>
      <c r="C138" s="14" t="s">
        <v>373</v>
      </c>
      <c r="D138" s="14" t="s">
        <v>64</v>
      </c>
      <c r="E138" s="226"/>
    </row>
    <row r="139" spans="1:9" ht="44">
      <c r="A139" s="53" t="s">
        <v>476</v>
      </c>
      <c r="B139" s="14"/>
      <c r="C139" s="14" t="s">
        <v>844</v>
      </c>
      <c r="D139" s="14" t="s">
        <v>64</v>
      </c>
      <c r="E139" s="226"/>
    </row>
    <row r="140" spans="1:9">
      <c r="A140" s="53" t="s">
        <v>134</v>
      </c>
      <c r="B140" s="18"/>
      <c r="C140" s="155" t="s">
        <v>423</v>
      </c>
      <c r="D140" s="128" t="s">
        <v>64</v>
      </c>
      <c r="E140" s="227"/>
    </row>
    <row r="141" spans="1:9">
      <c r="A141" s="53" t="s">
        <v>135</v>
      </c>
      <c r="B141" s="31"/>
      <c r="C141" s="282" t="s">
        <v>424</v>
      </c>
      <c r="D141" s="31" t="s">
        <v>64</v>
      </c>
      <c r="E141" s="249"/>
    </row>
    <row r="142" spans="1:9">
      <c r="A142" s="53" t="s">
        <v>477</v>
      </c>
      <c r="B142" s="156"/>
      <c r="C142" s="134" t="s">
        <v>749</v>
      </c>
      <c r="D142" s="157" t="s">
        <v>76</v>
      </c>
      <c r="E142" s="250">
        <v>1</v>
      </c>
    </row>
    <row r="143" spans="1:9">
      <c r="A143" s="53" t="s">
        <v>478</v>
      </c>
      <c r="B143" s="156"/>
      <c r="C143" s="134" t="s">
        <v>748</v>
      </c>
      <c r="D143" s="278" t="s">
        <v>64</v>
      </c>
      <c r="E143" s="229"/>
    </row>
    <row r="144" spans="1:9" ht="102">
      <c r="A144" s="53" t="s">
        <v>656</v>
      </c>
      <c r="B144" s="129"/>
      <c r="C144" s="129" t="s">
        <v>596</v>
      </c>
      <c r="D144" s="129" t="s">
        <v>64</v>
      </c>
      <c r="E144" s="240" t="s">
        <v>761</v>
      </c>
    </row>
    <row r="145" spans="1:10">
      <c r="A145" s="53" t="s">
        <v>657</v>
      </c>
      <c r="B145" s="139"/>
      <c r="C145" s="158" t="s">
        <v>802</v>
      </c>
      <c r="D145" s="139" t="s">
        <v>76</v>
      </c>
      <c r="E145" s="244">
        <v>1</v>
      </c>
    </row>
    <row r="146" spans="1:10">
      <c r="A146" s="53" t="s">
        <v>658</v>
      </c>
      <c r="B146" s="18"/>
      <c r="C146" s="159" t="s">
        <v>730</v>
      </c>
      <c r="D146" s="18" t="s">
        <v>64</v>
      </c>
      <c r="E146" s="233"/>
    </row>
    <row r="147" spans="1:10" ht="44" thickBot="1">
      <c r="A147" s="115" t="s">
        <v>758</v>
      </c>
      <c r="B147" s="143"/>
      <c r="C147" s="287" t="s">
        <v>845</v>
      </c>
      <c r="D147" s="143" t="s">
        <v>64</v>
      </c>
      <c r="E147" s="242" t="s">
        <v>761</v>
      </c>
    </row>
    <row r="148" spans="1:10">
      <c r="A148" s="54"/>
      <c r="B148" s="54"/>
      <c r="C148" s="54"/>
      <c r="D148" s="54"/>
      <c r="E148" s="235"/>
    </row>
    <row r="149" spans="1:10" ht="19.5" thickBot="1">
      <c r="A149" s="9" t="s">
        <v>136</v>
      </c>
      <c r="B149" s="9"/>
      <c r="C149" s="10" t="s">
        <v>137</v>
      </c>
      <c r="D149" s="11"/>
      <c r="E149" s="224"/>
      <c r="H149" s="88"/>
    </row>
    <row r="150" spans="1:10">
      <c r="A150" s="52" t="s">
        <v>57</v>
      </c>
      <c r="B150" s="12"/>
      <c r="C150" s="12" t="s">
        <v>58</v>
      </c>
      <c r="D150" s="12" t="s">
        <v>59</v>
      </c>
      <c r="E150" s="248" t="s">
        <v>60</v>
      </c>
    </row>
    <row r="151" spans="1:10">
      <c r="A151" s="53" t="s">
        <v>138</v>
      </c>
      <c r="B151" s="14"/>
      <c r="C151" s="23" t="s">
        <v>860</v>
      </c>
      <c r="D151" s="14" t="s">
        <v>64</v>
      </c>
      <c r="E151" s="226"/>
    </row>
    <row r="152" spans="1:10" ht="29.5">
      <c r="A152" s="53" t="s">
        <v>139</v>
      </c>
      <c r="B152" s="14"/>
      <c r="C152" s="14" t="s">
        <v>374</v>
      </c>
      <c r="D152" s="14" t="s">
        <v>64</v>
      </c>
      <c r="E152" s="226"/>
    </row>
    <row r="153" spans="1:10" ht="116.5">
      <c r="A153" s="53" t="s">
        <v>140</v>
      </c>
      <c r="B153" s="31"/>
      <c r="C153" s="31" t="s">
        <v>519</v>
      </c>
      <c r="D153" s="31" t="s">
        <v>64</v>
      </c>
      <c r="E153" s="233"/>
      <c r="H153" s="90"/>
    </row>
    <row r="154" spans="1:10" s="61" customFormat="1" ht="145.5">
      <c r="A154" s="53" t="s">
        <v>141</v>
      </c>
      <c r="B154" s="16"/>
      <c r="C154" s="16" t="s">
        <v>520</v>
      </c>
      <c r="D154" s="16" t="s">
        <v>64</v>
      </c>
      <c r="E154" s="231"/>
      <c r="H154" s="85"/>
      <c r="I154" s="65"/>
      <c r="J154" s="79"/>
    </row>
    <row r="155" spans="1:10" s="61" customFormat="1" ht="160">
      <c r="A155" s="53" t="s">
        <v>142</v>
      </c>
      <c r="B155" s="16"/>
      <c r="C155" s="16" t="s">
        <v>425</v>
      </c>
      <c r="D155" s="16" t="s">
        <v>64</v>
      </c>
      <c r="E155" s="231" t="s">
        <v>816</v>
      </c>
      <c r="H155" s="85"/>
      <c r="I155" s="65"/>
      <c r="J155" s="79"/>
    </row>
    <row r="156" spans="1:10" s="61" customFormat="1">
      <c r="A156" s="53" t="s">
        <v>479</v>
      </c>
      <c r="B156" s="16"/>
      <c r="C156" s="292" t="s">
        <v>846</v>
      </c>
      <c r="D156" s="16" t="s">
        <v>64</v>
      </c>
      <c r="E156" s="231"/>
      <c r="H156" s="85"/>
      <c r="I156" s="65"/>
      <c r="J156" s="79"/>
    </row>
    <row r="157" spans="1:10" s="61" customFormat="1" ht="29.5">
      <c r="A157" s="53" t="s">
        <v>480</v>
      </c>
      <c r="B157" s="97"/>
      <c r="C157" s="97" t="s">
        <v>426</v>
      </c>
      <c r="D157" s="97" t="s">
        <v>64</v>
      </c>
      <c r="E157" s="251"/>
      <c r="H157" s="85"/>
      <c r="I157" s="65"/>
      <c r="J157" s="79"/>
    </row>
    <row r="158" spans="1:10">
      <c r="A158" s="53" t="s">
        <v>481</v>
      </c>
      <c r="B158" s="129"/>
      <c r="C158" s="129" t="s">
        <v>375</v>
      </c>
      <c r="D158" s="129" t="s">
        <v>64</v>
      </c>
      <c r="E158" s="233"/>
    </row>
    <row r="159" spans="1:10" s="61" customFormat="1" ht="174.5">
      <c r="A159" s="55" t="s">
        <v>593</v>
      </c>
      <c r="B159" s="160"/>
      <c r="C159" s="161" t="s">
        <v>709</v>
      </c>
      <c r="D159" s="160" t="s">
        <v>64</v>
      </c>
      <c r="E159" s="252"/>
      <c r="H159" s="85"/>
      <c r="I159" s="79"/>
      <c r="J159" s="79"/>
    </row>
    <row r="160" spans="1:10" s="79" customFormat="1" ht="14.5">
      <c r="A160" s="127" t="s">
        <v>659</v>
      </c>
      <c r="B160" s="160"/>
      <c r="C160" s="162" t="s">
        <v>751</v>
      </c>
      <c r="D160" s="160" t="s">
        <v>64</v>
      </c>
      <c r="E160" s="252"/>
      <c r="H160" s="85"/>
    </row>
    <row r="161" spans="1:10" s="58" customFormat="1" ht="29">
      <c r="A161" s="107" t="s">
        <v>660</v>
      </c>
      <c r="B161" s="18"/>
      <c r="C161" s="304" t="s">
        <v>805</v>
      </c>
      <c r="D161" s="18" t="s">
        <v>64</v>
      </c>
      <c r="E161" s="233"/>
      <c r="H161" s="83"/>
      <c r="I161" s="59"/>
    </row>
    <row r="162" spans="1:10" s="58" customFormat="1" ht="29.5" thickBot="1">
      <c r="A162" s="115" t="s">
        <v>661</v>
      </c>
      <c r="B162" s="143"/>
      <c r="C162" s="163" t="s">
        <v>847</v>
      </c>
      <c r="D162" s="143" t="s">
        <v>64</v>
      </c>
      <c r="E162" s="242"/>
      <c r="H162" s="83"/>
      <c r="I162" s="59"/>
    </row>
    <row r="163" spans="1:10" s="58" customFormat="1" ht="14.5">
      <c r="A163" s="54"/>
      <c r="B163" s="54"/>
      <c r="C163" s="59"/>
      <c r="D163" s="54"/>
      <c r="E163" s="235"/>
      <c r="H163" s="83"/>
      <c r="I163" s="59"/>
    </row>
    <row r="164" spans="1:10" ht="19.5" thickBot="1">
      <c r="A164" s="9" t="s">
        <v>143</v>
      </c>
      <c r="B164" s="9"/>
      <c r="C164" s="10" t="s">
        <v>339</v>
      </c>
      <c r="D164" s="11"/>
      <c r="E164" s="224"/>
    </row>
    <row r="165" spans="1:10">
      <c r="A165" s="52" t="s">
        <v>57</v>
      </c>
      <c r="B165" s="12"/>
      <c r="C165" s="12" t="s">
        <v>58</v>
      </c>
      <c r="D165" s="12" t="s">
        <v>59</v>
      </c>
      <c r="E165" s="225" t="s">
        <v>60</v>
      </c>
    </row>
    <row r="166" spans="1:10">
      <c r="A166" s="53" t="s">
        <v>144</v>
      </c>
      <c r="B166" s="14"/>
      <c r="C166" s="294" t="s">
        <v>394</v>
      </c>
      <c r="D166" s="14" t="s">
        <v>64</v>
      </c>
      <c r="E166" s="226"/>
      <c r="J166" s="59"/>
    </row>
    <row r="167" spans="1:10" ht="29.5">
      <c r="A167" s="53" t="s">
        <v>483</v>
      </c>
      <c r="B167" s="14"/>
      <c r="C167" s="164" t="s">
        <v>725</v>
      </c>
      <c r="D167" s="14" t="s">
        <v>64</v>
      </c>
      <c r="E167" s="226"/>
      <c r="I167" s="56"/>
    </row>
    <row r="168" spans="1:10" s="64" customFormat="1" ht="29.5">
      <c r="A168" s="53" t="s">
        <v>145</v>
      </c>
      <c r="B168" s="14"/>
      <c r="C168" s="110" t="s">
        <v>726</v>
      </c>
      <c r="D168" s="16" t="s">
        <v>64</v>
      </c>
      <c r="E168" s="253"/>
      <c r="H168" s="89"/>
      <c r="I168" s="65"/>
      <c r="J168" s="65"/>
    </row>
    <row r="169" spans="1:10">
      <c r="A169" s="53" t="s">
        <v>484</v>
      </c>
      <c r="B169" s="14"/>
      <c r="C169" s="14" t="s">
        <v>727</v>
      </c>
      <c r="D169" s="14" t="s">
        <v>64</v>
      </c>
      <c r="E169" s="226"/>
    </row>
    <row r="170" spans="1:10" ht="29.5">
      <c r="A170" s="53" t="s">
        <v>482</v>
      </c>
      <c r="B170" s="14"/>
      <c r="C170" s="16" t="s">
        <v>728</v>
      </c>
      <c r="D170" s="14" t="s">
        <v>64</v>
      </c>
      <c r="E170" s="226"/>
    </row>
    <row r="171" spans="1:10">
      <c r="A171" s="55" t="s">
        <v>146</v>
      </c>
      <c r="B171" s="105"/>
      <c r="C171" s="105" t="s">
        <v>729</v>
      </c>
      <c r="D171" s="105" t="s">
        <v>64</v>
      </c>
      <c r="E171" s="232"/>
    </row>
    <row r="172" spans="1:10" s="58" customFormat="1" ht="14.5">
      <c r="A172" s="107" t="s">
        <v>147</v>
      </c>
      <c r="B172" s="155"/>
      <c r="C172" s="134" t="s">
        <v>722</v>
      </c>
      <c r="D172" s="155" t="s">
        <v>64</v>
      </c>
      <c r="E172" s="229"/>
    </row>
    <row r="173" spans="1:10" s="58" customFormat="1" ht="14.5">
      <c r="A173" s="55" t="s">
        <v>148</v>
      </c>
      <c r="B173" s="216"/>
      <c r="C173" s="183" t="s">
        <v>723</v>
      </c>
      <c r="D173" s="216" t="s">
        <v>64</v>
      </c>
      <c r="E173" s="254"/>
    </row>
    <row r="174" spans="1:10" ht="29.5">
      <c r="A174" s="107" t="s">
        <v>662</v>
      </c>
      <c r="B174" s="14"/>
      <c r="C174" s="14" t="s">
        <v>376</v>
      </c>
      <c r="D174" s="14" t="s">
        <v>64</v>
      </c>
      <c r="E174" s="247"/>
    </row>
    <row r="175" spans="1:10" ht="29.5">
      <c r="A175" s="55" t="s">
        <v>663</v>
      </c>
      <c r="B175" s="105"/>
      <c r="C175" s="105" t="s">
        <v>848</v>
      </c>
      <c r="D175" s="105" t="s">
        <v>64</v>
      </c>
      <c r="E175" s="232"/>
    </row>
    <row r="176" spans="1:10">
      <c r="A176" s="107" t="s">
        <v>664</v>
      </c>
      <c r="B176" s="23"/>
      <c r="C176" s="23" t="s">
        <v>724</v>
      </c>
      <c r="D176" s="23" t="s">
        <v>64</v>
      </c>
      <c r="E176" s="226"/>
    </row>
    <row r="177" spans="1:10">
      <c r="A177" s="55" t="s">
        <v>665</v>
      </c>
      <c r="B177" s="105"/>
      <c r="C177" s="166" t="s">
        <v>742</v>
      </c>
      <c r="D177" s="105" t="s">
        <v>64</v>
      </c>
      <c r="E177" s="239"/>
    </row>
    <row r="178" spans="1:10" ht="29">
      <c r="A178" s="107" t="s">
        <v>666</v>
      </c>
      <c r="B178" s="18"/>
      <c r="C178" s="165" t="s">
        <v>681</v>
      </c>
      <c r="D178" s="18" t="s">
        <v>64</v>
      </c>
      <c r="E178" s="233"/>
    </row>
    <row r="179" spans="1:10" ht="43.5">
      <c r="A179" s="55" t="s">
        <v>667</v>
      </c>
      <c r="B179" s="18"/>
      <c r="C179" s="199" t="s">
        <v>637</v>
      </c>
      <c r="D179" s="18" t="s">
        <v>64</v>
      </c>
      <c r="E179" s="233"/>
    </row>
    <row r="180" spans="1:10" ht="29.5">
      <c r="A180" s="107" t="s">
        <v>668</v>
      </c>
      <c r="B180" s="129" t="s">
        <v>639</v>
      </c>
      <c r="C180" s="105" t="s">
        <v>620</v>
      </c>
      <c r="D180" s="105" t="s">
        <v>64</v>
      </c>
      <c r="E180" s="240"/>
    </row>
    <row r="181" spans="1:10" ht="29">
      <c r="A181" s="55" t="s">
        <v>669</v>
      </c>
      <c r="B181" s="18" t="s">
        <v>639</v>
      </c>
      <c r="C181" s="295" t="s">
        <v>395</v>
      </c>
      <c r="D181" s="167" t="s">
        <v>64</v>
      </c>
      <c r="E181" s="233"/>
    </row>
    <row r="182" spans="1:10" ht="44">
      <c r="A182" s="107" t="s">
        <v>670</v>
      </c>
      <c r="B182" s="129" t="s">
        <v>639</v>
      </c>
      <c r="C182" s="105" t="s">
        <v>822</v>
      </c>
      <c r="D182" s="168" t="s">
        <v>64</v>
      </c>
      <c r="E182" s="240"/>
    </row>
    <row r="183" spans="1:10" ht="29.5">
      <c r="A183" s="55" t="s">
        <v>717</v>
      </c>
      <c r="B183" s="18" t="s">
        <v>639</v>
      </c>
      <c r="C183" s="23" t="s">
        <v>390</v>
      </c>
      <c r="D183" s="167" t="s">
        <v>64</v>
      </c>
      <c r="E183" s="233"/>
    </row>
    <row r="184" spans="1:10" ht="30" thickBot="1">
      <c r="A184" s="115" t="s">
        <v>718</v>
      </c>
      <c r="B184" s="143" t="s">
        <v>639</v>
      </c>
      <c r="C184" s="114" t="s">
        <v>391</v>
      </c>
      <c r="D184" s="169" t="s">
        <v>64</v>
      </c>
      <c r="E184" s="242"/>
    </row>
    <row r="185" spans="1:10" s="61" customFormat="1">
      <c r="A185" s="62"/>
      <c r="B185" s="54"/>
      <c r="D185" s="62"/>
      <c r="E185" s="255"/>
      <c r="H185" s="85"/>
      <c r="I185" s="73"/>
      <c r="J185" s="79"/>
    </row>
    <row r="186" spans="1:10" ht="19.5" thickBot="1">
      <c r="A186" s="9" t="s">
        <v>149</v>
      </c>
      <c r="B186" s="9"/>
      <c r="C186" s="10" t="s">
        <v>150</v>
      </c>
      <c r="D186" s="11"/>
      <c r="E186" s="224"/>
    </row>
    <row r="187" spans="1:10">
      <c r="A187" s="52" t="s">
        <v>57</v>
      </c>
      <c r="B187" s="71"/>
      <c r="C187" s="12" t="s">
        <v>58</v>
      </c>
      <c r="D187" s="12" t="s">
        <v>59</v>
      </c>
      <c r="E187" s="225" t="s">
        <v>60</v>
      </c>
    </row>
    <row r="188" spans="1:10" ht="29.5">
      <c r="A188" s="53" t="s">
        <v>151</v>
      </c>
      <c r="B188" s="23"/>
      <c r="C188" s="148" t="s">
        <v>591</v>
      </c>
      <c r="D188" s="14" t="s">
        <v>76</v>
      </c>
      <c r="E188" s="226">
        <v>3</v>
      </c>
      <c r="J188" s="59"/>
    </row>
    <row r="189" spans="1:10" ht="29.5">
      <c r="A189" s="53" t="s">
        <v>485</v>
      </c>
      <c r="B189" s="14"/>
      <c r="C189" s="14" t="s">
        <v>427</v>
      </c>
      <c r="D189" s="14" t="s">
        <v>64</v>
      </c>
      <c r="E189" s="226" t="s">
        <v>817</v>
      </c>
    </row>
    <row r="190" spans="1:10" ht="131">
      <c r="A190" s="53" t="s">
        <v>152</v>
      </c>
      <c r="B190" s="14"/>
      <c r="C190" s="16" t="s">
        <v>809</v>
      </c>
      <c r="D190" s="14" t="s">
        <v>64</v>
      </c>
      <c r="E190" s="226" t="s">
        <v>818</v>
      </c>
    </row>
    <row r="191" spans="1:10" ht="29.5">
      <c r="A191" s="53" t="s">
        <v>486</v>
      </c>
      <c r="B191" s="139"/>
      <c r="C191" s="147" t="s">
        <v>205</v>
      </c>
      <c r="D191" s="139" t="s">
        <v>64</v>
      </c>
      <c r="E191" s="244"/>
    </row>
    <row r="192" spans="1:10" s="61" customFormat="1">
      <c r="A192" s="53" t="s">
        <v>487</v>
      </c>
      <c r="B192" s="133" t="s">
        <v>340</v>
      </c>
      <c r="C192" s="170" t="s">
        <v>625</v>
      </c>
      <c r="D192" s="133" t="s">
        <v>64</v>
      </c>
      <c r="E192" s="251"/>
      <c r="H192" s="85"/>
      <c r="I192" s="65"/>
      <c r="J192" s="79"/>
    </row>
    <row r="193" spans="1:10" s="61" customFormat="1">
      <c r="A193" s="107" t="s">
        <v>488</v>
      </c>
      <c r="B193" s="133"/>
      <c r="C193" s="170" t="s">
        <v>882</v>
      </c>
      <c r="D193" s="133" t="s">
        <v>76</v>
      </c>
      <c r="E193" s="251">
        <v>1</v>
      </c>
      <c r="H193" s="85"/>
      <c r="I193" s="65"/>
      <c r="J193" s="79"/>
    </row>
    <row r="194" spans="1:10" s="61" customFormat="1">
      <c r="A194" s="53" t="s">
        <v>671</v>
      </c>
      <c r="B194" s="171"/>
      <c r="C194" s="164" t="s">
        <v>750</v>
      </c>
      <c r="D194" s="171" t="s">
        <v>76</v>
      </c>
      <c r="E194" s="256">
        <v>2</v>
      </c>
      <c r="H194" s="85"/>
      <c r="I194" s="65"/>
      <c r="J194" s="79"/>
    </row>
    <row r="195" spans="1:10" ht="30" thickBot="1">
      <c r="A195" s="115" t="s">
        <v>672</v>
      </c>
      <c r="B195" s="143"/>
      <c r="C195" s="150" t="s">
        <v>608</v>
      </c>
      <c r="D195" s="143" t="s">
        <v>64</v>
      </c>
      <c r="E195" s="242"/>
    </row>
    <row r="196" spans="1:10">
      <c r="A196" s="54"/>
      <c r="B196" s="54"/>
      <c r="C196" s="57"/>
      <c r="D196" s="54"/>
      <c r="E196" s="235"/>
    </row>
    <row r="197" spans="1:10" ht="19.5" thickBot="1">
      <c r="A197" s="9" t="s">
        <v>153</v>
      </c>
      <c r="B197" s="9"/>
      <c r="C197" s="10" t="s">
        <v>154</v>
      </c>
      <c r="D197" s="11"/>
      <c r="E197" s="224"/>
    </row>
    <row r="198" spans="1:10">
      <c r="A198" s="52" t="s">
        <v>57</v>
      </c>
      <c r="B198" s="12"/>
      <c r="C198" s="12" t="s">
        <v>58</v>
      </c>
      <c r="D198" s="12" t="s">
        <v>59</v>
      </c>
      <c r="E198" s="248" t="s">
        <v>60</v>
      </c>
    </row>
    <row r="199" spans="1:10">
      <c r="A199" s="53" t="s">
        <v>155</v>
      </c>
      <c r="B199" s="14"/>
      <c r="C199" s="14" t="s">
        <v>429</v>
      </c>
      <c r="D199" s="14" t="s">
        <v>64</v>
      </c>
      <c r="E199" s="226"/>
    </row>
    <row r="200" spans="1:10" ht="29.5">
      <c r="A200" s="53" t="s">
        <v>489</v>
      </c>
      <c r="B200" s="14"/>
      <c r="C200" s="16" t="s">
        <v>682</v>
      </c>
      <c r="D200" s="14" t="s">
        <v>64</v>
      </c>
      <c r="E200" s="226"/>
    </row>
    <row r="201" spans="1:10" ht="29.5">
      <c r="A201" s="53" t="s">
        <v>156</v>
      </c>
      <c r="B201" s="14"/>
      <c r="C201" s="14" t="s">
        <v>430</v>
      </c>
      <c r="D201" s="14" t="s">
        <v>64</v>
      </c>
      <c r="E201" s="226"/>
      <c r="J201" s="59"/>
    </row>
    <row r="202" spans="1:10" s="61" customFormat="1" ht="29.5">
      <c r="A202" s="53" t="s">
        <v>157</v>
      </c>
      <c r="B202" s="16"/>
      <c r="C202" s="16" t="s">
        <v>849</v>
      </c>
      <c r="D202" s="16" t="s">
        <v>64</v>
      </c>
      <c r="E202" s="231"/>
      <c r="H202" s="85"/>
      <c r="I202" s="65"/>
      <c r="J202" s="79"/>
    </row>
    <row r="203" spans="1:10" s="63" customFormat="1">
      <c r="A203" s="53" t="s">
        <v>158</v>
      </c>
      <c r="B203" s="16"/>
      <c r="C203" s="16" t="s">
        <v>688</v>
      </c>
      <c r="D203" s="16" t="s">
        <v>64</v>
      </c>
      <c r="E203" s="231"/>
      <c r="H203" s="96"/>
      <c r="I203" s="65"/>
      <c r="J203" s="65"/>
    </row>
    <row r="204" spans="1:10" ht="29.5">
      <c r="A204" s="53" t="s">
        <v>159</v>
      </c>
      <c r="B204" s="14"/>
      <c r="C204" s="14" t="s">
        <v>683</v>
      </c>
      <c r="D204" s="14" t="s">
        <v>64</v>
      </c>
      <c r="E204" s="226"/>
      <c r="F204" s="17"/>
    </row>
    <row r="205" spans="1:10">
      <c r="A205" s="53" t="s">
        <v>160</v>
      </c>
      <c r="B205" s="14"/>
      <c r="C205" s="14" t="s">
        <v>431</v>
      </c>
      <c r="D205" s="14" t="s">
        <v>64</v>
      </c>
      <c r="E205" s="226"/>
    </row>
    <row r="206" spans="1:10">
      <c r="A206" s="53" t="s">
        <v>490</v>
      </c>
      <c r="B206" s="139"/>
      <c r="C206" s="172" t="s">
        <v>861</v>
      </c>
      <c r="D206" s="139" t="s">
        <v>64</v>
      </c>
      <c r="E206" s="244"/>
    </row>
    <row r="207" spans="1:10">
      <c r="A207" s="53" t="s">
        <v>161</v>
      </c>
      <c r="B207" s="18"/>
      <c r="C207" s="155" t="s">
        <v>206</v>
      </c>
      <c r="D207" s="18" t="s">
        <v>64</v>
      </c>
      <c r="E207" s="233"/>
    </row>
    <row r="208" spans="1:10" ht="44">
      <c r="A208" s="53" t="s">
        <v>491</v>
      </c>
      <c r="B208" s="129"/>
      <c r="C208" s="16" t="s">
        <v>752</v>
      </c>
      <c r="D208" s="129" t="s">
        <v>64</v>
      </c>
      <c r="E208" s="240"/>
    </row>
    <row r="209" spans="1:10" ht="44">
      <c r="A209" s="53" t="s">
        <v>492</v>
      </c>
      <c r="B209" s="18"/>
      <c r="C209" s="14" t="s">
        <v>823</v>
      </c>
      <c r="D209" s="18" t="s">
        <v>64</v>
      </c>
      <c r="E209" s="233"/>
    </row>
    <row r="210" spans="1:10" ht="29">
      <c r="A210" s="53" t="s">
        <v>493</v>
      </c>
      <c r="B210" s="129"/>
      <c r="C210" s="132" t="s">
        <v>432</v>
      </c>
      <c r="D210" s="129" t="s">
        <v>64</v>
      </c>
      <c r="E210" s="240"/>
    </row>
    <row r="211" spans="1:10">
      <c r="A211" s="53" t="s">
        <v>494</v>
      </c>
      <c r="B211" s="18"/>
      <c r="C211" s="152" t="s">
        <v>433</v>
      </c>
      <c r="D211" s="18" t="s">
        <v>64</v>
      </c>
      <c r="E211" s="233"/>
    </row>
    <row r="212" spans="1:10">
      <c r="A212" s="53" t="s">
        <v>495</v>
      </c>
      <c r="B212" s="129"/>
      <c r="C212" s="153" t="s">
        <v>207</v>
      </c>
      <c r="D212" s="129" t="s">
        <v>64</v>
      </c>
      <c r="E212" s="240"/>
    </row>
    <row r="213" spans="1:10">
      <c r="A213" s="53" t="s">
        <v>496</v>
      </c>
      <c r="B213" s="18"/>
      <c r="C213" s="140" t="s">
        <v>684</v>
      </c>
      <c r="D213" s="18" t="s">
        <v>64</v>
      </c>
      <c r="E213" s="233"/>
    </row>
    <row r="214" spans="1:10">
      <c r="A214" s="53" t="s">
        <v>497</v>
      </c>
      <c r="B214" s="129"/>
      <c r="C214" s="3" t="s">
        <v>352</v>
      </c>
      <c r="D214" s="129" t="s">
        <v>64</v>
      </c>
      <c r="E214" s="240"/>
    </row>
    <row r="215" spans="1:10" ht="29.5" thickBot="1">
      <c r="A215" s="115" t="s">
        <v>498</v>
      </c>
      <c r="B215" s="143"/>
      <c r="C215" s="285" t="s">
        <v>850</v>
      </c>
      <c r="D215" s="143" t="s">
        <v>64</v>
      </c>
      <c r="E215" s="242"/>
    </row>
    <row r="216" spans="1:10">
      <c r="A216" s="54"/>
      <c r="B216" s="54"/>
      <c r="C216" s="108"/>
      <c r="D216" s="54"/>
      <c r="E216" s="235"/>
    </row>
    <row r="217" spans="1:10" ht="19.5" thickBot="1">
      <c r="A217" s="9" t="s">
        <v>162</v>
      </c>
      <c r="B217" s="9"/>
      <c r="C217" s="10" t="s">
        <v>163</v>
      </c>
      <c r="D217" s="11"/>
      <c r="E217" s="224"/>
    </row>
    <row r="218" spans="1:10">
      <c r="A218" s="52" t="s">
        <v>57</v>
      </c>
      <c r="B218" s="12"/>
      <c r="C218" s="12" t="s">
        <v>58</v>
      </c>
      <c r="D218" s="12" t="s">
        <v>59</v>
      </c>
      <c r="E218" s="248" t="s">
        <v>60</v>
      </c>
      <c r="J218" s="59"/>
    </row>
    <row r="219" spans="1:10" ht="29">
      <c r="A219" s="53" t="s">
        <v>573</v>
      </c>
      <c r="B219" s="14"/>
      <c r="C219" s="305" t="s">
        <v>851</v>
      </c>
      <c r="D219" s="14" t="s">
        <v>64</v>
      </c>
      <c r="E219" s="226"/>
    </row>
    <row r="220" spans="1:10" ht="29.5">
      <c r="A220" s="53" t="s">
        <v>574</v>
      </c>
      <c r="B220" s="14"/>
      <c r="C220" s="14" t="s">
        <v>733</v>
      </c>
      <c r="D220" s="14" t="s">
        <v>64</v>
      </c>
      <c r="E220" s="226"/>
    </row>
    <row r="221" spans="1:10" ht="58.5">
      <c r="A221" s="53" t="s">
        <v>575</v>
      </c>
      <c r="B221" s="14"/>
      <c r="C221" s="14" t="s">
        <v>831</v>
      </c>
      <c r="D221" s="14" t="s">
        <v>64</v>
      </c>
      <c r="E221" s="226"/>
      <c r="J221" s="59"/>
    </row>
    <row r="222" spans="1:10" ht="58.5">
      <c r="A222" s="53" t="s">
        <v>576</v>
      </c>
      <c r="B222" s="14"/>
      <c r="C222" s="14" t="s">
        <v>872</v>
      </c>
      <c r="D222" s="14" t="s">
        <v>64</v>
      </c>
      <c r="E222" s="226" t="s">
        <v>812</v>
      </c>
    </row>
    <row r="223" spans="1:10" ht="29.5">
      <c r="A223" s="53" t="s">
        <v>577</v>
      </c>
      <c r="B223" s="14"/>
      <c r="C223" s="14" t="s">
        <v>592</v>
      </c>
      <c r="D223" s="14" t="s">
        <v>64</v>
      </c>
      <c r="E223" s="226"/>
    </row>
    <row r="224" spans="1:10">
      <c r="A224" s="53" t="s">
        <v>578</v>
      </c>
      <c r="B224" s="14"/>
      <c r="C224" s="14" t="s">
        <v>852</v>
      </c>
      <c r="D224" s="14" t="s">
        <v>64</v>
      </c>
      <c r="E224" s="226"/>
    </row>
    <row r="225" spans="1:10" ht="29.5">
      <c r="A225" s="53" t="s">
        <v>579</v>
      </c>
      <c r="B225" s="14"/>
      <c r="C225" s="14" t="s">
        <v>853</v>
      </c>
      <c r="D225" s="14" t="s">
        <v>64</v>
      </c>
      <c r="E225" s="226"/>
    </row>
    <row r="226" spans="1:10" ht="30" thickBot="1">
      <c r="A226" s="115" t="s">
        <v>580</v>
      </c>
      <c r="B226" s="114"/>
      <c r="C226" s="114" t="s">
        <v>854</v>
      </c>
      <c r="D226" s="114" t="s">
        <v>64</v>
      </c>
      <c r="E226" s="234"/>
    </row>
    <row r="227" spans="1:10" s="61" customFormat="1">
      <c r="A227" s="54"/>
      <c r="B227" s="62"/>
      <c r="C227" s="62"/>
      <c r="D227" s="62"/>
      <c r="E227" s="255"/>
      <c r="H227" s="85"/>
      <c r="I227" s="65"/>
      <c r="J227" s="79"/>
    </row>
    <row r="228" spans="1:10" ht="19.5" thickBot="1">
      <c r="A228" s="9" t="s">
        <v>164</v>
      </c>
      <c r="B228" s="9"/>
      <c r="C228" s="10" t="s">
        <v>165</v>
      </c>
      <c r="D228" s="11"/>
      <c r="E228" s="224"/>
    </row>
    <row r="229" spans="1:10">
      <c r="A229" s="52" t="s">
        <v>57</v>
      </c>
      <c r="B229" s="12"/>
      <c r="C229" s="12" t="s">
        <v>58</v>
      </c>
      <c r="D229" s="12" t="s">
        <v>59</v>
      </c>
      <c r="E229" s="248" t="s">
        <v>60</v>
      </c>
    </row>
    <row r="230" spans="1:10">
      <c r="A230" s="53" t="s">
        <v>562</v>
      </c>
      <c r="B230" s="14" t="s">
        <v>434</v>
      </c>
      <c r="C230" s="14" t="s">
        <v>208</v>
      </c>
      <c r="D230" s="14" t="s">
        <v>64</v>
      </c>
      <c r="E230" s="226"/>
      <c r="F230" s="17"/>
      <c r="G230" s="17"/>
      <c r="H230" s="78"/>
    </row>
    <row r="231" spans="1:10" ht="29.5">
      <c r="A231" s="53" t="s">
        <v>563</v>
      </c>
      <c r="B231" s="14" t="s">
        <v>434</v>
      </c>
      <c r="C231" s="14" t="s">
        <v>166</v>
      </c>
      <c r="D231" s="14" t="s">
        <v>64</v>
      </c>
      <c r="E231" s="226"/>
    </row>
    <row r="232" spans="1:10">
      <c r="A232" s="53" t="s">
        <v>564</v>
      </c>
      <c r="B232" s="14" t="s">
        <v>434</v>
      </c>
      <c r="C232" s="14" t="s">
        <v>167</v>
      </c>
      <c r="D232" s="14" t="s">
        <v>64</v>
      </c>
      <c r="E232" s="226"/>
    </row>
    <row r="233" spans="1:10" ht="58.5">
      <c r="A233" s="53" t="s">
        <v>565</v>
      </c>
      <c r="B233" s="14" t="s">
        <v>434</v>
      </c>
      <c r="C233" s="14" t="s">
        <v>209</v>
      </c>
      <c r="D233" s="14" t="s">
        <v>64</v>
      </c>
      <c r="E233" s="226"/>
      <c r="I233" s="1"/>
    </row>
    <row r="234" spans="1:10">
      <c r="A234" s="53" t="s">
        <v>566</v>
      </c>
      <c r="B234" s="14" t="s">
        <v>434</v>
      </c>
      <c r="C234" s="14" t="s">
        <v>753</v>
      </c>
      <c r="D234" s="14" t="s">
        <v>76</v>
      </c>
      <c r="E234" s="226">
        <v>2</v>
      </c>
    </row>
    <row r="235" spans="1:10" ht="58.5">
      <c r="A235" s="53" t="s">
        <v>567</v>
      </c>
      <c r="B235" s="14" t="s">
        <v>434</v>
      </c>
      <c r="C235" s="14" t="s">
        <v>521</v>
      </c>
      <c r="D235" s="14" t="s">
        <v>64</v>
      </c>
      <c r="E235" s="226"/>
    </row>
    <row r="236" spans="1:10" ht="29.5">
      <c r="A236" s="53" t="s">
        <v>568</v>
      </c>
      <c r="B236" s="14" t="s">
        <v>434</v>
      </c>
      <c r="C236" s="14" t="s">
        <v>436</v>
      </c>
      <c r="D236" s="14" t="s">
        <v>64</v>
      </c>
      <c r="E236" s="226"/>
    </row>
    <row r="237" spans="1:10">
      <c r="A237" s="53" t="s">
        <v>569</v>
      </c>
      <c r="B237" s="14" t="s">
        <v>434</v>
      </c>
      <c r="C237" s="14" t="s">
        <v>810</v>
      </c>
      <c r="D237" s="14" t="s">
        <v>64</v>
      </c>
      <c r="E237" s="226"/>
    </row>
    <row r="238" spans="1:10">
      <c r="A238" s="53" t="s">
        <v>570</v>
      </c>
      <c r="B238" s="14" t="s">
        <v>434</v>
      </c>
      <c r="C238" s="14" t="s">
        <v>168</v>
      </c>
      <c r="D238" s="14" t="s">
        <v>64</v>
      </c>
      <c r="E238" s="226"/>
    </row>
    <row r="239" spans="1:10" ht="44">
      <c r="A239" s="53" t="s">
        <v>571</v>
      </c>
      <c r="B239" s="139" t="s">
        <v>435</v>
      </c>
      <c r="C239" s="174" t="s">
        <v>614</v>
      </c>
      <c r="D239" s="139" t="s">
        <v>64</v>
      </c>
      <c r="E239" s="244" t="s">
        <v>763</v>
      </c>
    </row>
    <row r="240" spans="1:10">
      <c r="A240" s="53" t="s">
        <v>572</v>
      </c>
      <c r="B240" s="18" t="s">
        <v>435</v>
      </c>
      <c r="C240" s="140" t="s">
        <v>803</v>
      </c>
      <c r="D240" s="18" t="s">
        <v>76</v>
      </c>
      <c r="E240" s="233">
        <v>1</v>
      </c>
    </row>
    <row r="241" spans="1:10" ht="15.5" thickBot="1">
      <c r="A241" s="115" t="s">
        <v>808</v>
      </c>
      <c r="B241" s="187" t="s">
        <v>435</v>
      </c>
      <c r="C241" s="279" t="s">
        <v>377</v>
      </c>
      <c r="D241" s="187" t="s">
        <v>64</v>
      </c>
      <c r="E241" s="265"/>
    </row>
    <row r="242" spans="1:10" s="61" customFormat="1">
      <c r="A242" s="54"/>
      <c r="B242" s="62"/>
      <c r="C242" s="65"/>
      <c r="D242" s="62"/>
      <c r="E242" s="255"/>
      <c r="H242" s="85"/>
      <c r="I242" s="65"/>
      <c r="J242" s="79"/>
    </row>
    <row r="243" spans="1:10" ht="19.5" thickBot="1">
      <c r="A243" s="9" t="s">
        <v>169</v>
      </c>
      <c r="B243" s="9"/>
      <c r="C243" s="10" t="s">
        <v>170</v>
      </c>
      <c r="D243" s="11"/>
      <c r="E243" s="224"/>
    </row>
    <row r="244" spans="1:10">
      <c r="A244" s="112" t="s">
        <v>57</v>
      </c>
      <c r="B244" s="71"/>
      <c r="C244" s="71" t="s">
        <v>58</v>
      </c>
      <c r="D244" s="71" t="s">
        <v>59</v>
      </c>
      <c r="E244" s="258" t="s">
        <v>60</v>
      </c>
    </row>
    <row r="245" spans="1:10" ht="29">
      <c r="A245" s="176" t="s">
        <v>547</v>
      </c>
      <c r="B245" s="18"/>
      <c r="C245" s="165" t="s">
        <v>378</v>
      </c>
      <c r="D245" s="18" t="s">
        <v>64</v>
      </c>
      <c r="E245" s="233" t="s">
        <v>813</v>
      </c>
    </row>
    <row r="246" spans="1:10">
      <c r="A246" s="176" t="s">
        <v>548</v>
      </c>
      <c r="B246" s="129"/>
      <c r="C246" s="177" t="s">
        <v>603</v>
      </c>
      <c r="D246" s="129" t="s">
        <v>64</v>
      </c>
      <c r="E246" s="240"/>
      <c r="I246" s="1"/>
    </row>
    <row r="247" spans="1:10">
      <c r="A247" s="176" t="s">
        <v>549</v>
      </c>
      <c r="B247" s="18"/>
      <c r="C247" s="286" t="s">
        <v>211</v>
      </c>
      <c r="D247" s="18" t="s">
        <v>64</v>
      </c>
      <c r="E247" s="233"/>
    </row>
    <row r="248" spans="1:10">
      <c r="A248" s="176" t="s">
        <v>550</v>
      </c>
      <c r="B248" s="105"/>
      <c r="C248" s="313" t="s">
        <v>171</v>
      </c>
      <c r="D248" s="105" t="s">
        <v>64</v>
      </c>
      <c r="E248" s="239"/>
    </row>
    <row r="249" spans="1:10" s="61" customFormat="1">
      <c r="A249" s="176" t="s">
        <v>551</v>
      </c>
      <c r="B249" s="110"/>
      <c r="C249" s="110" t="s">
        <v>710</v>
      </c>
      <c r="D249" s="110" t="s">
        <v>64</v>
      </c>
      <c r="E249" s="231"/>
      <c r="H249" s="85"/>
      <c r="I249" s="79"/>
      <c r="J249" s="65"/>
    </row>
    <row r="250" spans="1:10">
      <c r="A250" s="176" t="s">
        <v>552</v>
      </c>
      <c r="B250" s="129"/>
      <c r="C250" s="166" t="s">
        <v>215</v>
      </c>
      <c r="D250" s="130" t="s">
        <v>64</v>
      </c>
      <c r="E250" s="228"/>
    </row>
    <row r="251" spans="1:10">
      <c r="A251" s="176" t="s">
        <v>553</v>
      </c>
      <c r="B251" s="18"/>
      <c r="C251" s="18" t="s">
        <v>437</v>
      </c>
      <c r="D251" s="128" t="s">
        <v>64</v>
      </c>
      <c r="E251" s="243"/>
    </row>
    <row r="252" spans="1:10">
      <c r="A252" s="176" t="s">
        <v>554</v>
      </c>
      <c r="B252" s="129"/>
      <c r="C252" s="129" t="s">
        <v>438</v>
      </c>
      <c r="D252" s="130" t="s">
        <v>64</v>
      </c>
      <c r="E252" s="227"/>
    </row>
    <row r="253" spans="1:10">
      <c r="A253" s="176" t="s">
        <v>555</v>
      </c>
      <c r="B253" s="18"/>
      <c r="C253" s="18" t="s">
        <v>213</v>
      </c>
      <c r="D253" s="128" t="s">
        <v>64</v>
      </c>
      <c r="E253" s="228"/>
    </row>
    <row r="254" spans="1:10" ht="29.5">
      <c r="A254" s="176" t="s">
        <v>556</v>
      </c>
      <c r="B254" s="129"/>
      <c r="C254" s="129" t="s">
        <v>214</v>
      </c>
      <c r="D254" s="130" t="s">
        <v>64</v>
      </c>
      <c r="E254" s="227"/>
    </row>
    <row r="255" spans="1:10">
      <c r="A255" s="176" t="s">
        <v>557</v>
      </c>
      <c r="B255" s="18"/>
      <c r="C255" s="18" t="s">
        <v>440</v>
      </c>
      <c r="D255" s="128" t="s">
        <v>76</v>
      </c>
      <c r="E255" s="228">
        <v>2</v>
      </c>
    </row>
    <row r="256" spans="1:10">
      <c r="A256" s="176" t="s">
        <v>558</v>
      </c>
      <c r="B256" s="129"/>
      <c r="C256" s="129" t="s">
        <v>212</v>
      </c>
      <c r="D256" s="130" t="s">
        <v>64</v>
      </c>
      <c r="E256" s="227"/>
    </row>
    <row r="257" spans="1:10" s="61" customFormat="1">
      <c r="A257" s="176" t="s">
        <v>559</v>
      </c>
      <c r="B257" s="133"/>
      <c r="C257" s="133" t="s">
        <v>711</v>
      </c>
      <c r="D257" s="178" t="s">
        <v>64</v>
      </c>
      <c r="E257" s="259"/>
      <c r="H257" s="85"/>
      <c r="I257" s="65"/>
      <c r="J257" s="79"/>
    </row>
    <row r="258" spans="1:10" s="61" customFormat="1">
      <c r="A258" s="176" t="s">
        <v>560</v>
      </c>
      <c r="B258" s="171"/>
      <c r="C258" s="171" t="s">
        <v>754</v>
      </c>
      <c r="D258" s="179" t="s">
        <v>64</v>
      </c>
      <c r="E258" s="260"/>
      <c r="H258" s="85"/>
      <c r="I258" s="65"/>
      <c r="J258" s="79"/>
    </row>
    <row r="259" spans="1:10" s="61" customFormat="1" ht="30" thickBot="1">
      <c r="A259" s="180" t="s">
        <v>561</v>
      </c>
      <c r="B259" s="173"/>
      <c r="C259" s="173" t="s">
        <v>441</v>
      </c>
      <c r="D259" s="181" t="s">
        <v>64</v>
      </c>
      <c r="E259" s="261"/>
      <c r="H259" s="85"/>
      <c r="I259" s="65"/>
      <c r="J259" s="79"/>
    </row>
    <row r="260" spans="1:10" s="61" customFormat="1">
      <c r="A260" s="54"/>
      <c r="B260" s="62"/>
      <c r="C260" s="62"/>
      <c r="D260" s="62"/>
      <c r="E260" s="255"/>
      <c r="H260" s="85"/>
      <c r="I260" s="65"/>
      <c r="J260" s="79"/>
    </row>
    <row r="261" spans="1:10" s="61" customFormat="1" ht="19.5" thickBot="1">
      <c r="A261" s="72" t="s">
        <v>172</v>
      </c>
      <c r="B261" s="72"/>
      <c r="C261" s="66" t="s">
        <v>173</v>
      </c>
      <c r="D261" s="67"/>
      <c r="E261" s="262"/>
      <c r="H261" s="85"/>
      <c r="I261" s="65"/>
      <c r="J261" s="79"/>
    </row>
    <row r="262" spans="1:10" s="61" customFormat="1">
      <c r="A262" s="68" t="s">
        <v>57</v>
      </c>
      <c r="B262" s="69"/>
      <c r="C262" s="69" t="s">
        <v>58</v>
      </c>
      <c r="D262" s="69" t="s">
        <v>59</v>
      </c>
      <c r="E262" s="263" t="s">
        <v>60</v>
      </c>
      <c r="H262" s="85"/>
      <c r="I262" s="65"/>
      <c r="J262" s="79"/>
    </row>
    <row r="263" spans="1:10" s="61" customFormat="1">
      <c r="A263" s="60" t="s">
        <v>543</v>
      </c>
      <c r="B263" s="16"/>
      <c r="C263" s="16" t="s">
        <v>883</v>
      </c>
      <c r="D263" s="16" t="s">
        <v>64</v>
      </c>
      <c r="E263" s="231"/>
      <c r="H263" s="85"/>
      <c r="I263" s="65"/>
      <c r="J263" s="79"/>
    </row>
    <row r="264" spans="1:10" s="61" customFormat="1" ht="44">
      <c r="A264" s="60" t="s">
        <v>544</v>
      </c>
      <c r="B264" s="97"/>
      <c r="C264" s="97" t="s">
        <v>597</v>
      </c>
      <c r="D264" s="97" t="s">
        <v>64</v>
      </c>
      <c r="E264" s="251"/>
      <c r="H264" s="85"/>
      <c r="I264" s="65"/>
      <c r="J264" s="65"/>
    </row>
    <row r="265" spans="1:10" ht="44">
      <c r="A265" s="60" t="s">
        <v>545</v>
      </c>
      <c r="B265" s="105"/>
      <c r="C265" s="105" t="s">
        <v>598</v>
      </c>
      <c r="D265" s="105" t="s">
        <v>64</v>
      </c>
      <c r="E265" s="232"/>
    </row>
    <row r="266" spans="1:10" s="58" customFormat="1" ht="44" thickBot="1">
      <c r="A266" s="117" t="s">
        <v>546</v>
      </c>
      <c r="B266" s="143"/>
      <c r="C266" s="144" t="s">
        <v>690</v>
      </c>
      <c r="D266" s="143" t="s">
        <v>64</v>
      </c>
      <c r="E266" s="242"/>
      <c r="H266" s="83"/>
      <c r="I266" s="59"/>
    </row>
    <row r="267" spans="1:10" s="58" customFormat="1" ht="14.5">
      <c r="A267" s="62"/>
      <c r="B267" s="54"/>
      <c r="C267" s="118"/>
      <c r="D267" s="54"/>
      <c r="E267" s="235"/>
      <c r="H267" s="83"/>
      <c r="I267" s="59"/>
    </row>
    <row r="268" spans="1:10" ht="19.5" thickBot="1">
      <c r="A268" s="9" t="s">
        <v>174</v>
      </c>
      <c r="B268" s="9"/>
      <c r="C268" s="10" t="s">
        <v>175</v>
      </c>
      <c r="D268" s="11"/>
      <c r="E268" s="224"/>
    </row>
    <row r="269" spans="1:10">
      <c r="A269" s="52" t="s">
        <v>57</v>
      </c>
      <c r="B269" s="12"/>
      <c r="C269" s="12" t="s">
        <v>58</v>
      </c>
      <c r="D269" s="12" t="s">
        <v>59</v>
      </c>
      <c r="E269" s="248" t="s">
        <v>60</v>
      </c>
    </row>
    <row r="270" spans="1:10" ht="44">
      <c r="A270" s="53" t="s">
        <v>532</v>
      </c>
      <c r="B270" s="14"/>
      <c r="C270" s="16" t="s">
        <v>600</v>
      </c>
      <c r="D270" s="14" t="s">
        <v>64</v>
      </c>
      <c r="E270" s="226"/>
      <c r="J270" s="59"/>
    </row>
    <row r="271" spans="1:10" ht="29">
      <c r="A271" s="53" t="s">
        <v>533</v>
      </c>
      <c r="B271" s="14"/>
      <c r="C271" s="291" t="s">
        <v>379</v>
      </c>
      <c r="D271" s="14" t="s">
        <v>64</v>
      </c>
      <c r="E271" s="226"/>
      <c r="J271" s="59"/>
    </row>
    <row r="272" spans="1:10" ht="29.5">
      <c r="A272" s="53" t="s">
        <v>534</v>
      </c>
      <c r="B272" s="14"/>
      <c r="C272" s="16" t="s">
        <v>217</v>
      </c>
      <c r="D272" s="14" t="s">
        <v>64</v>
      </c>
      <c r="E272" s="226"/>
    </row>
    <row r="273" spans="1:11">
      <c r="A273" s="53" t="s">
        <v>535</v>
      </c>
      <c r="B273" s="14"/>
      <c r="C273" s="16" t="s">
        <v>176</v>
      </c>
      <c r="D273" s="14" t="s">
        <v>64</v>
      </c>
      <c r="E273" s="226"/>
    </row>
    <row r="274" spans="1:11">
      <c r="A274" s="53" t="s">
        <v>536</v>
      </c>
      <c r="B274" s="14"/>
      <c r="C274" s="16" t="s">
        <v>177</v>
      </c>
      <c r="D274" s="14" t="s">
        <v>64</v>
      </c>
      <c r="E274" s="226"/>
    </row>
    <row r="275" spans="1:11" ht="44">
      <c r="A275" s="53" t="s">
        <v>537</v>
      </c>
      <c r="B275" s="14"/>
      <c r="C275" s="16" t="s">
        <v>601</v>
      </c>
      <c r="D275" s="14" t="s">
        <v>64</v>
      </c>
      <c r="E275" s="226"/>
      <c r="J275" s="59"/>
    </row>
    <row r="276" spans="1:11" ht="131">
      <c r="A276" s="53" t="s">
        <v>538</v>
      </c>
      <c r="B276" s="14"/>
      <c r="C276" s="16" t="s">
        <v>604</v>
      </c>
      <c r="D276" s="14" t="s">
        <v>64</v>
      </c>
      <c r="E276" s="226" t="s">
        <v>814</v>
      </c>
    </row>
    <row r="277" spans="1:11" ht="29.5">
      <c r="A277" s="53" t="s">
        <v>539</v>
      </c>
      <c r="B277" s="139"/>
      <c r="C277" s="174" t="s">
        <v>380</v>
      </c>
      <c r="D277" s="139" t="s">
        <v>64</v>
      </c>
      <c r="E277" s="244"/>
      <c r="I277" s="58"/>
      <c r="J277" s="59"/>
    </row>
    <row r="278" spans="1:11">
      <c r="A278" s="53" t="s">
        <v>540</v>
      </c>
      <c r="B278" s="18"/>
      <c r="C278" s="18" t="s">
        <v>381</v>
      </c>
      <c r="D278" s="18" t="s">
        <v>64</v>
      </c>
      <c r="E278" s="233" t="s">
        <v>814</v>
      </c>
      <c r="I278" s="58"/>
    </row>
    <row r="279" spans="1:11">
      <c r="A279" s="53" t="s">
        <v>541</v>
      </c>
      <c r="B279" s="129"/>
      <c r="C279" s="153" t="s">
        <v>631</v>
      </c>
      <c r="D279" s="129" t="s">
        <v>64</v>
      </c>
      <c r="E279" s="240"/>
      <c r="K279" s="58"/>
    </row>
    <row r="280" spans="1:11" ht="15.5" thickBot="1">
      <c r="A280" s="115" t="s">
        <v>542</v>
      </c>
      <c r="B280" s="143"/>
      <c r="C280" s="182" t="s">
        <v>621</v>
      </c>
      <c r="D280" s="143" t="s">
        <v>64</v>
      </c>
      <c r="E280" s="242"/>
      <c r="K280" s="58"/>
    </row>
    <row r="281" spans="1:11">
      <c r="A281" s="54"/>
      <c r="B281" s="54"/>
      <c r="C281" s="109"/>
      <c r="D281" s="54"/>
      <c r="E281" s="235"/>
      <c r="K281" s="58"/>
    </row>
    <row r="282" spans="1:11" ht="19.5" thickBot="1">
      <c r="A282" s="9" t="s">
        <v>178</v>
      </c>
      <c r="B282" s="9"/>
      <c r="C282" s="10" t="s">
        <v>741</v>
      </c>
      <c r="D282" s="11"/>
      <c r="E282" s="224"/>
    </row>
    <row r="283" spans="1:11">
      <c r="A283" s="52" t="s">
        <v>57</v>
      </c>
      <c r="B283" s="12"/>
      <c r="C283" s="12" t="s">
        <v>58</v>
      </c>
      <c r="D283" s="12" t="s">
        <v>59</v>
      </c>
      <c r="E283" s="248" t="s">
        <v>60</v>
      </c>
    </row>
    <row r="284" spans="1:11" ht="72.5">
      <c r="A284" s="55" t="s">
        <v>407</v>
      </c>
      <c r="B284" s="105" t="s">
        <v>393</v>
      </c>
      <c r="C284" s="288" t="s">
        <v>382</v>
      </c>
      <c r="D284" s="105" t="s">
        <v>64</v>
      </c>
      <c r="E284" s="226"/>
    </row>
    <row r="285" spans="1:11" ht="29.5">
      <c r="A285" s="107" t="s">
        <v>408</v>
      </c>
      <c r="B285" s="106" t="s">
        <v>393</v>
      </c>
      <c r="C285" s="174" t="s">
        <v>862</v>
      </c>
      <c r="D285" s="23" t="s">
        <v>64</v>
      </c>
      <c r="E285" s="232"/>
    </row>
    <row r="286" spans="1:11">
      <c r="A286" s="55" t="s">
        <v>409</v>
      </c>
      <c r="B286" s="23" t="s">
        <v>393</v>
      </c>
      <c r="C286" s="134" t="s">
        <v>406</v>
      </c>
      <c r="D286" s="105" t="s">
        <v>64</v>
      </c>
      <c r="E286" s="226"/>
      <c r="I286" s="99"/>
    </row>
    <row r="287" spans="1:11" ht="29.5">
      <c r="A287" s="107" t="s">
        <v>410</v>
      </c>
      <c r="B287" s="14" t="s">
        <v>393</v>
      </c>
      <c r="C287" s="183" t="s">
        <v>863</v>
      </c>
      <c r="D287" s="23" t="s">
        <v>64</v>
      </c>
      <c r="E287" s="247"/>
    </row>
    <row r="288" spans="1:11" ht="29.5">
      <c r="A288" s="55" t="s">
        <v>411</v>
      </c>
      <c r="B288" s="105" t="s">
        <v>393</v>
      </c>
      <c r="C288" s="3" t="s">
        <v>864</v>
      </c>
      <c r="D288" s="105" t="s">
        <v>64</v>
      </c>
      <c r="E288" s="232"/>
    </row>
    <row r="289" spans="1:10" ht="29.5">
      <c r="A289" s="107" t="s">
        <v>412</v>
      </c>
      <c r="B289" s="23" t="s">
        <v>393</v>
      </c>
      <c r="C289" s="134" t="s">
        <v>699</v>
      </c>
      <c r="D289" s="23" t="s">
        <v>64</v>
      </c>
      <c r="E289" s="226"/>
      <c r="I289" s="54"/>
    </row>
    <row r="290" spans="1:10" ht="116.5">
      <c r="A290" s="55" t="s">
        <v>413</v>
      </c>
      <c r="B290" s="105" t="s">
        <v>393</v>
      </c>
      <c r="C290" s="3" t="s">
        <v>595</v>
      </c>
      <c r="D290" s="105" t="s">
        <v>64</v>
      </c>
      <c r="E290" s="247"/>
      <c r="I290" s="65"/>
    </row>
    <row r="291" spans="1:10" ht="29.5">
      <c r="A291" s="107" t="s">
        <v>414</v>
      </c>
      <c r="B291" s="106" t="s">
        <v>393</v>
      </c>
      <c r="C291" s="139" t="s">
        <v>386</v>
      </c>
      <c r="D291" s="23" t="s">
        <v>64</v>
      </c>
      <c r="E291" s="226"/>
    </row>
    <row r="292" spans="1:10" ht="116.5">
      <c r="A292" s="55" t="s">
        <v>415</v>
      </c>
      <c r="B292" s="23" t="s">
        <v>393</v>
      </c>
      <c r="C292" s="23" t="s">
        <v>873</v>
      </c>
      <c r="D292" s="14" t="s">
        <v>64</v>
      </c>
      <c r="E292" s="226"/>
    </row>
    <row r="293" spans="1:10" ht="29.5">
      <c r="A293" s="107" t="s">
        <v>416</v>
      </c>
      <c r="B293" s="14" t="s">
        <v>393</v>
      </c>
      <c r="C293" s="16" t="s">
        <v>768</v>
      </c>
      <c r="D293" s="14" t="s">
        <v>64</v>
      </c>
      <c r="E293" s="247"/>
      <c r="I293" s="79"/>
      <c r="J293" s="65"/>
    </row>
    <row r="294" spans="1:10" ht="29.5">
      <c r="A294" s="55" t="s">
        <v>499</v>
      </c>
      <c r="B294" s="105"/>
      <c r="C294" s="105" t="s">
        <v>893</v>
      </c>
      <c r="D294" s="105" t="s">
        <v>64</v>
      </c>
      <c r="E294" s="232"/>
    </row>
    <row r="295" spans="1:10" ht="58">
      <c r="A295" s="107" t="s">
        <v>500</v>
      </c>
      <c r="B295" s="23"/>
      <c r="C295" s="295" t="s">
        <v>855</v>
      </c>
      <c r="D295" s="23" t="s">
        <v>64</v>
      </c>
      <c r="E295" s="226"/>
    </row>
    <row r="296" spans="1:10" ht="29">
      <c r="A296" s="55" t="s">
        <v>501</v>
      </c>
      <c r="B296" s="14"/>
      <c r="C296" s="184" t="s">
        <v>594</v>
      </c>
      <c r="D296" s="22" t="s">
        <v>64</v>
      </c>
      <c r="E296" s="264"/>
    </row>
    <row r="297" spans="1:10">
      <c r="A297" s="107" t="s">
        <v>502</v>
      </c>
      <c r="B297" s="14"/>
      <c r="C297" s="14" t="s">
        <v>210</v>
      </c>
      <c r="D297" s="14" t="s">
        <v>64</v>
      </c>
      <c r="E297" s="226"/>
    </row>
    <row r="298" spans="1:10">
      <c r="A298" s="55" t="s">
        <v>503</v>
      </c>
      <c r="B298" s="105"/>
      <c r="C298" s="105" t="s">
        <v>179</v>
      </c>
      <c r="D298" s="105" t="s">
        <v>64</v>
      </c>
      <c r="E298" s="232"/>
    </row>
    <row r="299" spans="1:10" ht="29.5">
      <c r="A299" s="107" t="s">
        <v>504</v>
      </c>
      <c r="B299" s="23"/>
      <c r="C299" s="23" t="s">
        <v>383</v>
      </c>
      <c r="D299" s="23" t="s">
        <v>64</v>
      </c>
      <c r="E299" s="226"/>
    </row>
    <row r="300" spans="1:10" ht="29.5">
      <c r="A300" s="55" t="s">
        <v>505</v>
      </c>
      <c r="B300" s="14"/>
      <c r="C300" s="16" t="s">
        <v>829</v>
      </c>
      <c r="D300" s="14" t="s">
        <v>64</v>
      </c>
      <c r="E300" s="247"/>
    </row>
    <row r="301" spans="1:10" ht="29.5">
      <c r="A301" s="107" t="s">
        <v>506</v>
      </c>
      <c r="B301" s="23"/>
      <c r="C301" s="23" t="s">
        <v>418</v>
      </c>
      <c r="D301" s="23" t="s">
        <v>64</v>
      </c>
      <c r="E301" s="226"/>
      <c r="I301" s="65"/>
    </row>
    <row r="302" spans="1:10" ht="29.5">
      <c r="A302" s="55" t="s">
        <v>507</v>
      </c>
      <c r="B302" s="129"/>
      <c r="C302" s="129" t="s">
        <v>856</v>
      </c>
      <c r="D302" s="129" t="s">
        <v>64</v>
      </c>
      <c r="E302" s="240"/>
    </row>
    <row r="303" spans="1:10" ht="44">
      <c r="A303" s="107" t="s">
        <v>508</v>
      </c>
      <c r="B303" s="18"/>
      <c r="C303" s="18" t="s">
        <v>384</v>
      </c>
      <c r="D303" s="18" t="s">
        <v>64</v>
      </c>
      <c r="E303" s="233"/>
    </row>
    <row r="304" spans="1:10" ht="29.5">
      <c r="A304" s="55" t="s">
        <v>509</v>
      </c>
      <c r="B304" s="18"/>
      <c r="C304" s="18" t="s">
        <v>218</v>
      </c>
      <c r="D304" s="18" t="s">
        <v>64</v>
      </c>
      <c r="E304" s="233"/>
    </row>
    <row r="305" spans="1:10" ht="29.5">
      <c r="A305" s="107" t="s">
        <v>510</v>
      </c>
      <c r="B305" s="31"/>
      <c r="C305" s="31" t="s">
        <v>385</v>
      </c>
      <c r="D305" s="31" t="s">
        <v>64</v>
      </c>
      <c r="E305" s="249"/>
    </row>
    <row r="306" spans="1:10" ht="44">
      <c r="A306" s="107" t="s">
        <v>673</v>
      </c>
      <c r="B306" s="18"/>
      <c r="C306" s="18" t="s">
        <v>691</v>
      </c>
      <c r="D306" s="18" t="s">
        <v>64</v>
      </c>
      <c r="E306" s="233" t="s">
        <v>815</v>
      </c>
    </row>
    <row r="307" spans="1:10" ht="29.5">
      <c r="A307" s="107" t="s">
        <v>759</v>
      </c>
      <c r="B307" s="18"/>
      <c r="C307" s="18" t="s">
        <v>219</v>
      </c>
      <c r="D307" s="18" t="s">
        <v>64</v>
      </c>
      <c r="E307" s="233"/>
    </row>
    <row r="308" spans="1:10" ht="44">
      <c r="A308" s="107" t="s">
        <v>511</v>
      </c>
      <c r="B308" s="18"/>
      <c r="C308" s="18" t="s">
        <v>387</v>
      </c>
      <c r="D308" s="18" t="s">
        <v>64</v>
      </c>
      <c r="E308" s="233"/>
    </row>
    <row r="309" spans="1:10" ht="29.5">
      <c r="A309" s="107" t="s">
        <v>512</v>
      </c>
      <c r="B309" s="129"/>
      <c r="C309" s="129" t="s">
        <v>388</v>
      </c>
      <c r="D309" s="129" t="s">
        <v>64</v>
      </c>
      <c r="E309" s="240"/>
    </row>
    <row r="310" spans="1:10">
      <c r="A310" s="107" t="s">
        <v>513</v>
      </c>
      <c r="B310" s="139"/>
      <c r="C310" s="185" t="s">
        <v>692</v>
      </c>
      <c r="D310" s="139" t="s">
        <v>64</v>
      </c>
      <c r="E310" s="244"/>
      <c r="I310" s="58"/>
      <c r="J310" s="59"/>
    </row>
    <row r="311" spans="1:10" ht="29">
      <c r="A311" s="107" t="s">
        <v>514</v>
      </c>
      <c r="B311" s="139"/>
      <c r="C311" s="185" t="s">
        <v>746</v>
      </c>
      <c r="D311" s="139" t="s">
        <v>64</v>
      </c>
      <c r="E311" s="244"/>
      <c r="I311" s="58"/>
      <c r="J311" s="59"/>
    </row>
    <row r="312" spans="1:10" ht="43.5">
      <c r="A312" s="107" t="s">
        <v>515</v>
      </c>
      <c r="B312" s="18"/>
      <c r="C312" s="186" t="s">
        <v>439</v>
      </c>
      <c r="D312" s="18" t="s">
        <v>64</v>
      </c>
      <c r="E312" s="233"/>
    </row>
    <row r="313" spans="1:10" ht="29.5" thickBot="1">
      <c r="A313" s="115" t="s">
        <v>516</v>
      </c>
      <c r="B313" s="143"/>
      <c r="C313" s="149" t="s">
        <v>216</v>
      </c>
      <c r="D313" s="143" t="s">
        <v>64</v>
      </c>
      <c r="E313" s="242"/>
      <c r="I313" s="99"/>
      <c r="J313" s="59"/>
    </row>
    <row r="314" spans="1:10">
      <c r="A314" s="71"/>
      <c r="B314" s="54"/>
      <c r="C314" s="94"/>
      <c r="D314" s="54"/>
      <c r="E314" s="235"/>
    </row>
    <row r="315" spans="1:10" ht="19.5" thickBot="1">
      <c r="A315" s="9" t="s">
        <v>180</v>
      </c>
      <c r="B315" s="9"/>
      <c r="C315" s="10" t="s">
        <v>181</v>
      </c>
      <c r="D315" s="11"/>
      <c r="E315" s="224"/>
    </row>
    <row r="316" spans="1:10">
      <c r="A316" s="52" t="s">
        <v>57</v>
      </c>
      <c r="B316" s="12"/>
      <c r="C316" s="12" t="s">
        <v>58</v>
      </c>
      <c r="D316" s="12" t="s">
        <v>59</v>
      </c>
      <c r="E316" s="248" t="s">
        <v>60</v>
      </c>
    </row>
    <row r="317" spans="1:10" ht="44">
      <c r="A317" s="55" t="s">
        <v>524</v>
      </c>
      <c r="B317" s="105"/>
      <c r="C317" s="105" t="s">
        <v>865</v>
      </c>
      <c r="D317" s="105" t="s">
        <v>64</v>
      </c>
      <c r="E317" s="226"/>
      <c r="J317" s="100"/>
    </row>
    <row r="318" spans="1:10" ht="102">
      <c r="A318" s="107" t="s">
        <v>525</v>
      </c>
      <c r="B318" s="23"/>
      <c r="C318" s="134" t="s">
        <v>876</v>
      </c>
      <c r="D318" s="21" t="s">
        <v>76</v>
      </c>
      <c r="E318" s="226">
        <v>3</v>
      </c>
      <c r="J318" s="100"/>
    </row>
    <row r="319" spans="1:10" ht="44">
      <c r="A319" s="55" t="s">
        <v>526</v>
      </c>
      <c r="B319" s="105"/>
      <c r="C319" s="3" t="s">
        <v>886</v>
      </c>
      <c r="D319" s="105" t="s">
        <v>64</v>
      </c>
      <c r="E319" s="226" t="s">
        <v>763</v>
      </c>
      <c r="J319" s="59"/>
    </row>
    <row r="320" spans="1:10" ht="29.5">
      <c r="A320" s="107" t="s">
        <v>527</v>
      </c>
      <c r="B320" s="23" t="s">
        <v>417</v>
      </c>
      <c r="C320" s="134" t="s">
        <v>397</v>
      </c>
      <c r="D320" s="21" t="s">
        <v>64</v>
      </c>
      <c r="E320" s="226"/>
    </row>
    <row r="321" spans="1:10" ht="29.5">
      <c r="A321" s="55" t="s">
        <v>528</v>
      </c>
      <c r="B321" s="14" t="s">
        <v>417</v>
      </c>
      <c r="C321" s="14" t="s">
        <v>182</v>
      </c>
      <c r="D321" s="14" t="s">
        <v>64</v>
      </c>
      <c r="E321" s="226"/>
    </row>
    <row r="322" spans="1:10" s="61" customFormat="1" ht="29.5">
      <c r="A322" s="127" t="s">
        <v>529</v>
      </c>
      <c r="B322" s="171"/>
      <c r="C322" s="177" t="s">
        <v>396</v>
      </c>
      <c r="D322" s="171" t="s">
        <v>64</v>
      </c>
      <c r="E322" s="252"/>
      <c r="H322" s="85"/>
      <c r="I322" s="65"/>
      <c r="J322" s="79"/>
    </row>
    <row r="323" spans="1:10" s="61" customFormat="1" ht="58">
      <c r="A323" s="107" t="s">
        <v>530</v>
      </c>
      <c r="B323" s="133"/>
      <c r="C323" s="214" t="s">
        <v>765</v>
      </c>
      <c r="D323" s="178" t="s">
        <v>64</v>
      </c>
      <c r="E323" s="259"/>
      <c r="H323" s="85"/>
      <c r="I323" s="65"/>
      <c r="J323" s="79"/>
    </row>
    <row r="324" spans="1:10" s="61" customFormat="1" ht="29.5" thickBot="1">
      <c r="A324" s="116" t="s">
        <v>531</v>
      </c>
      <c r="B324" s="212"/>
      <c r="C324" s="213" t="s">
        <v>878</v>
      </c>
      <c r="D324" s="212" t="s">
        <v>76</v>
      </c>
      <c r="E324" s="257">
        <v>2</v>
      </c>
      <c r="H324" s="85"/>
      <c r="I324" s="65"/>
      <c r="J324" s="79"/>
    </row>
    <row r="325" spans="1:10" s="61" customFormat="1">
      <c r="A325" s="54"/>
      <c r="B325" s="62"/>
      <c r="C325" s="73"/>
      <c r="D325" s="62"/>
      <c r="E325" s="255"/>
      <c r="H325" s="85"/>
      <c r="I325" s="101"/>
      <c r="J325" s="79"/>
    </row>
    <row r="326" spans="1:10" ht="19.5" thickBot="1">
      <c r="A326" s="9" t="s">
        <v>183</v>
      </c>
      <c r="B326" s="9"/>
      <c r="C326" s="10" t="s">
        <v>221</v>
      </c>
      <c r="D326" s="11"/>
      <c r="E326" s="224"/>
    </row>
    <row r="327" spans="1:10">
      <c r="A327" s="52" t="s">
        <v>57</v>
      </c>
      <c r="B327" s="12"/>
      <c r="C327" s="12" t="s">
        <v>58</v>
      </c>
      <c r="D327" s="12" t="s">
        <v>59</v>
      </c>
      <c r="E327" s="248" t="s">
        <v>60</v>
      </c>
    </row>
    <row r="328" spans="1:10" ht="15.5" thickBot="1">
      <c r="A328" s="180" t="s">
        <v>517</v>
      </c>
      <c r="B328" s="187"/>
      <c r="C328" s="188" t="s">
        <v>402</v>
      </c>
      <c r="D328" s="187" t="s">
        <v>64</v>
      </c>
      <c r="E328" s="265"/>
    </row>
    <row r="329" spans="1:10">
      <c r="A329" s="54"/>
      <c r="B329" s="54"/>
      <c r="C329" s="54"/>
      <c r="D329" s="54"/>
      <c r="E329" s="235"/>
      <c r="I329" s="1"/>
    </row>
    <row r="330" spans="1:10" ht="19.5" thickBot="1">
      <c r="A330" s="9" t="s">
        <v>184</v>
      </c>
      <c r="B330" s="9"/>
      <c r="C330" s="10" t="s">
        <v>185</v>
      </c>
      <c r="D330" s="11"/>
      <c r="E330" s="224"/>
    </row>
    <row r="331" spans="1:10">
      <c r="A331" s="112" t="s">
        <v>57</v>
      </c>
      <c r="B331" s="71"/>
      <c r="C331" s="71" t="s">
        <v>58</v>
      </c>
      <c r="D331" s="71" t="s">
        <v>59</v>
      </c>
      <c r="E331" s="258" t="s">
        <v>60</v>
      </c>
    </row>
    <row r="332" spans="1:10" ht="44">
      <c r="A332" s="107" t="s">
        <v>522</v>
      </c>
      <c r="B332" s="18"/>
      <c r="C332" s="134" t="s">
        <v>389</v>
      </c>
      <c r="D332" s="18" t="s">
        <v>64</v>
      </c>
      <c r="E332" s="233"/>
    </row>
    <row r="333" spans="1:10" ht="30" thickBot="1">
      <c r="A333" s="115" t="s">
        <v>523</v>
      </c>
      <c r="B333" s="114"/>
      <c r="C333" s="209" t="s">
        <v>687</v>
      </c>
      <c r="D333" s="114" t="s">
        <v>64</v>
      </c>
      <c r="E333" s="234"/>
      <c r="I333" s="58"/>
    </row>
    <row r="334" spans="1:10">
      <c r="A334" s="54"/>
      <c r="B334" s="54"/>
      <c r="C334" s="54"/>
      <c r="D334" s="54"/>
      <c r="E334" s="235"/>
      <c r="I334" s="58"/>
    </row>
    <row r="335" spans="1:10" ht="19.5" thickBot="1">
      <c r="A335" s="9" t="s">
        <v>442</v>
      </c>
      <c r="B335" s="9"/>
      <c r="C335" s="10" t="s">
        <v>353</v>
      </c>
      <c r="D335" s="119"/>
      <c r="E335" s="266"/>
    </row>
    <row r="336" spans="1:10">
      <c r="A336" s="120" t="s">
        <v>57</v>
      </c>
      <c r="B336" s="113"/>
      <c r="C336" s="121" t="s">
        <v>58</v>
      </c>
      <c r="D336" s="111" t="s">
        <v>59</v>
      </c>
      <c r="E336" s="267" t="s">
        <v>60</v>
      </c>
    </row>
    <row r="337" spans="1:10">
      <c r="A337" s="189" t="s">
        <v>581</v>
      </c>
      <c r="B337" s="190"/>
      <c r="C337" s="30" t="s">
        <v>884</v>
      </c>
      <c r="D337" s="135" t="s">
        <v>64</v>
      </c>
      <c r="E337" s="268"/>
    </row>
    <row r="338" spans="1:10" ht="29.5">
      <c r="A338" s="189" t="s">
        <v>582</v>
      </c>
      <c r="B338" s="191"/>
      <c r="C338" s="3" t="s">
        <v>745</v>
      </c>
      <c r="D338" s="192" t="s">
        <v>64</v>
      </c>
      <c r="E338" s="269"/>
    </row>
    <row r="339" spans="1:10">
      <c r="A339" s="193" t="s">
        <v>583</v>
      </c>
      <c r="B339" s="136"/>
      <c r="C339" s="137" t="s">
        <v>615</v>
      </c>
      <c r="D339" s="137" t="s">
        <v>64</v>
      </c>
      <c r="E339" s="270"/>
    </row>
    <row r="340" spans="1:10" ht="29">
      <c r="A340" s="211" t="s">
        <v>584</v>
      </c>
      <c r="B340" s="156"/>
      <c r="C340" s="214" t="s">
        <v>400</v>
      </c>
      <c r="D340" s="215" t="s">
        <v>64</v>
      </c>
      <c r="E340" s="271"/>
    </row>
    <row r="341" spans="1:10" ht="189">
      <c r="A341" s="193" t="s">
        <v>585</v>
      </c>
      <c r="B341" s="105"/>
      <c r="C341" s="126" t="s">
        <v>700</v>
      </c>
      <c r="D341" s="105" t="s">
        <v>64</v>
      </c>
      <c r="E341" s="232"/>
    </row>
    <row r="342" spans="1:10">
      <c r="A342" s="194" t="s">
        <v>674</v>
      </c>
      <c r="B342" s="106"/>
      <c r="C342" s="185" t="s">
        <v>734</v>
      </c>
      <c r="D342" s="106" t="s">
        <v>64</v>
      </c>
      <c r="E342" s="232"/>
    </row>
    <row r="343" spans="1:10" s="58" customFormat="1" ht="44" thickBot="1">
      <c r="A343" s="195" t="s">
        <v>675</v>
      </c>
      <c r="B343" s="143"/>
      <c r="C343" s="196" t="s">
        <v>885</v>
      </c>
      <c r="D343" s="143" t="s">
        <v>76</v>
      </c>
      <c r="E343" s="242">
        <v>2</v>
      </c>
      <c r="H343" s="83"/>
      <c r="I343" s="59"/>
    </row>
    <row r="344" spans="1:10">
      <c r="A344" s="54"/>
      <c r="B344" s="54"/>
      <c r="C344" s="125"/>
      <c r="D344" s="54"/>
      <c r="E344" s="235"/>
    </row>
    <row r="345" spans="1:10" ht="19.5" thickBot="1">
      <c r="A345" s="9" t="s">
        <v>443</v>
      </c>
      <c r="B345" s="9"/>
      <c r="C345" s="10" t="s">
        <v>392</v>
      </c>
      <c r="D345" s="11"/>
      <c r="E345" s="224"/>
    </row>
    <row r="346" spans="1:10">
      <c r="A346" s="52" t="s">
        <v>57</v>
      </c>
      <c r="B346" s="12"/>
      <c r="C346" s="12" t="s">
        <v>58</v>
      </c>
      <c r="D346" s="12" t="s">
        <v>59</v>
      </c>
      <c r="E346" s="258" t="s">
        <v>60</v>
      </c>
    </row>
    <row r="347" spans="1:10">
      <c r="A347" s="194" t="s">
        <v>586</v>
      </c>
      <c r="B347" s="172" t="s">
        <v>392</v>
      </c>
      <c r="C347" s="161" t="s">
        <v>399</v>
      </c>
      <c r="D347" s="137" t="s">
        <v>64</v>
      </c>
      <c r="E347" s="272"/>
      <c r="I347" s="65"/>
    </row>
    <row r="348" spans="1:10" ht="30" thickBot="1">
      <c r="A348" s="195" t="s">
        <v>587</v>
      </c>
      <c r="B348" s="154" t="s">
        <v>392</v>
      </c>
      <c r="C348" s="175" t="s">
        <v>626</v>
      </c>
      <c r="D348" s="197" t="s">
        <v>76</v>
      </c>
      <c r="E348" s="276">
        <v>3</v>
      </c>
    </row>
    <row r="349" spans="1:10">
      <c r="A349" s="58"/>
      <c r="B349" s="58"/>
      <c r="C349" s="65"/>
      <c r="D349" s="56"/>
    </row>
    <row r="350" spans="1:10" ht="19.5" thickBot="1">
      <c r="A350" s="9" t="s">
        <v>676</v>
      </c>
      <c r="B350" s="9"/>
      <c r="C350" s="10" t="s">
        <v>342</v>
      </c>
      <c r="D350" s="11"/>
      <c r="E350" s="224"/>
    </row>
    <row r="351" spans="1:10">
      <c r="A351" s="52" t="s">
        <v>57</v>
      </c>
      <c r="B351" s="12"/>
      <c r="C351" s="12" t="s">
        <v>58</v>
      </c>
      <c r="D351" s="12" t="s">
        <v>59</v>
      </c>
      <c r="E351" s="267" t="s">
        <v>60</v>
      </c>
    </row>
    <row r="352" spans="1:10" ht="29.5">
      <c r="A352" s="194" t="s">
        <v>689</v>
      </c>
      <c r="B352" s="4" t="s">
        <v>342</v>
      </c>
      <c r="C352" s="171" t="s">
        <v>804</v>
      </c>
      <c r="D352" s="192" t="s">
        <v>64</v>
      </c>
      <c r="E352" s="274"/>
      <c r="J352" s="59"/>
    </row>
    <row r="353" spans="1:11" ht="131">
      <c r="A353" s="211" t="s">
        <v>587</v>
      </c>
      <c r="B353" s="172" t="s">
        <v>342</v>
      </c>
      <c r="C353" s="170" t="s">
        <v>834</v>
      </c>
      <c r="D353" s="309" t="s">
        <v>64</v>
      </c>
      <c r="E353" s="229"/>
      <c r="I353" s="315"/>
    </row>
    <row r="354" spans="1:11" ht="30" thickBot="1">
      <c r="A354" s="195" t="s">
        <v>588</v>
      </c>
      <c r="B354" s="154" t="s">
        <v>342</v>
      </c>
      <c r="C354" s="163" t="s">
        <v>819</v>
      </c>
      <c r="D354" s="197" t="s">
        <v>64</v>
      </c>
      <c r="E354" s="310"/>
      <c r="K354" s="314"/>
    </row>
    <row r="355" spans="1:11">
      <c r="A355" s="58"/>
      <c r="B355" s="58"/>
      <c r="C355" s="59"/>
      <c r="D355" s="56"/>
      <c r="K355" s="314"/>
    </row>
    <row r="356" spans="1:11" ht="19.5" thickBot="1">
      <c r="A356" s="9" t="s">
        <v>677</v>
      </c>
      <c r="B356" s="9"/>
      <c r="C356" s="10" t="s">
        <v>403</v>
      </c>
      <c r="D356" s="11"/>
      <c r="E356" s="224"/>
    </row>
    <row r="357" spans="1:11">
      <c r="A357" s="112" t="s">
        <v>57</v>
      </c>
      <c r="B357" s="71"/>
      <c r="C357" s="71" t="s">
        <v>58</v>
      </c>
      <c r="D357" s="71" t="s">
        <v>59</v>
      </c>
      <c r="E357" s="273" t="s">
        <v>60</v>
      </c>
    </row>
    <row r="358" spans="1:11" s="58" customFormat="1" ht="44" thickBot="1">
      <c r="A358" s="195" t="s">
        <v>719</v>
      </c>
      <c r="B358" s="219" t="s">
        <v>403</v>
      </c>
      <c r="C358" s="280" t="s">
        <v>701</v>
      </c>
      <c r="D358" s="197" t="s">
        <v>64</v>
      </c>
      <c r="E358" s="281"/>
      <c r="H358" s="83"/>
      <c r="I358" s="59"/>
    </row>
    <row r="359" spans="1:11" s="58" customFormat="1" ht="14.5">
      <c r="B359" s="210"/>
      <c r="C359" s="220"/>
      <c r="D359" s="56"/>
      <c r="E359" s="275"/>
      <c r="H359" s="83"/>
      <c r="I359" s="59"/>
    </row>
    <row r="360" spans="1:11" ht="19.5" thickBot="1">
      <c r="A360" s="9" t="s">
        <v>713</v>
      </c>
      <c r="B360" s="9"/>
      <c r="C360" s="10" t="s">
        <v>622</v>
      </c>
      <c r="D360" s="11"/>
      <c r="E360" s="224"/>
    </row>
    <row r="361" spans="1:11">
      <c r="A361" s="112" t="s">
        <v>57</v>
      </c>
      <c r="B361" s="71"/>
      <c r="C361" s="71" t="s">
        <v>58</v>
      </c>
      <c r="D361" s="71" t="s">
        <v>59</v>
      </c>
      <c r="E361" s="273" t="s">
        <v>60</v>
      </c>
    </row>
    <row r="362" spans="1:11" s="58" customFormat="1" ht="29.5" thickBot="1">
      <c r="A362" s="195" t="s">
        <v>720</v>
      </c>
      <c r="B362" s="219" t="s">
        <v>622</v>
      </c>
      <c r="C362" s="149" t="s">
        <v>694</v>
      </c>
      <c r="D362" s="197" t="s">
        <v>76</v>
      </c>
      <c r="E362" s="276">
        <v>2</v>
      </c>
      <c r="H362" s="83"/>
    </row>
    <row r="363" spans="1:11">
      <c r="A363" s="1"/>
      <c r="C363" s="1"/>
      <c r="D363" s="1"/>
    </row>
    <row r="364" spans="1:11">
      <c r="A364" s="1"/>
      <c r="C364" s="1"/>
      <c r="D364" s="1"/>
    </row>
    <row r="365" spans="1:11">
      <c r="A365" s="1"/>
      <c r="C365" s="1"/>
      <c r="D365" s="1"/>
    </row>
    <row r="366" spans="1:11" s="58" customFormat="1" ht="14.5">
      <c r="B366" s="210"/>
      <c r="C366" s="94"/>
      <c r="E366" s="275"/>
    </row>
    <row r="367" spans="1:11" s="58" customFormat="1" ht="14.5">
      <c r="B367" s="210"/>
      <c r="C367" s="94"/>
      <c r="E367" s="275"/>
    </row>
    <row r="368" spans="1:11" s="58" customFormat="1" ht="14.5">
      <c r="B368" s="210"/>
      <c r="C368" s="94"/>
      <c r="E368" s="275"/>
    </row>
    <row r="369" spans="2:5" s="58" customFormat="1" ht="14.5">
      <c r="B369" s="210"/>
      <c r="C369" s="94"/>
      <c r="E369" s="275"/>
    </row>
    <row r="370" spans="2:5" s="58" customFormat="1" ht="14.5">
      <c r="B370" s="210"/>
      <c r="C370" s="94"/>
      <c r="E370" s="275"/>
    </row>
    <row r="371" spans="2:5" s="58" customFormat="1" ht="14.5">
      <c r="B371" s="210"/>
      <c r="C371" s="94"/>
      <c r="E371" s="275"/>
    </row>
    <row r="372" spans="2:5" s="58" customFormat="1" ht="14.5">
      <c r="B372" s="210"/>
      <c r="C372" s="94"/>
      <c r="E372" s="275"/>
    </row>
    <row r="373" spans="2:5" s="58" customFormat="1" ht="14.5">
      <c r="B373" s="210"/>
      <c r="C373" s="94"/>
      <c r="E373" s="275"/>
    </row>
    <row r="374" spans="2:5" s="58" customFormat="1" ht="14.5">
      <c r="B374" s="210"/>
      <c r="C374" s="94"/>
      <c r="E374" s="275"/>
    </row>
    <row r="375" spans="2:5" s="58" customFormat="1" ht="14.5">
      <c r="B375" s="210"/>
      <c r="C375" s="94"/>
      <c r="E375" s="275"/>
    </row>
    <row r="376" spans="2:5" s="58" customFormat="1" ht="14.5">
      <c r="B376" s="210"/>
      <c r="C376" s="94"/>
      <c r="E376" s="275"/>
    </row>
    <row r="377" spans="2:5" s="58" customFormat="1" ht="14.5">
      <c r="B377" s="210"/>
      <c r="C377" s="94"/>
      <c r="E377" s="275"/>
    </row>
    <row r="378" spans="2:5" s="58" customFormat="1" ht="14.5">
      <c r="B378" s="210"/>
      <c r="C378" s="94"/>
      <c r="E378" s="275"/>
    </row>
  </sheetData>
  <autoFilter ref="A7:J162"/>
  <mergeCells count="1">
    <mergeCell ref="A2:C3"/>
  </mergeCells>
  <phoneticPr fontId="26" type="noConversion"/>
  <pageMargins left="0.7" right="0.7" top="0.75" bottom="0.75" header="0.3" footer="0.3"/>
  <pageSetup paperSize="8" scale="67"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Normal="100" workbookViewId="0">
      <selection activeCell="B22" sqref="B22"/>
    </sheetView>
  </sheetViews>
  <sheetFormatPr defaultColWidth="9.26953125" defaultRowHeight="15"/>
  <cols>
    <col min="1" max="1" width="9.26953125" style="1"/>
    <col min="2" max="2" width="90.453125" style="1" customWidth="1"/>
    <col min="3" max="3" width="12.1796875" style="1" customWidth="1"/>
    <col min="4" max="4" width="16.26953125" style="1" customWidth="1"/>
    <col min="5" max="5" width="22.81640625" style="1" hidden="1" customWidth="1"/>
    <col min="6" max="6" width="12.7265625" style="1" hidden="1" customWidth="1"/>
    <col min="7" max="7" width="66" style="306" customWidth="1"/>
    <col min="8" max="8" width="81.54296875" style="1" customWidth="1"/>
    <col min="9" max="16384" width="9.26953125" style="1"/>
  </cols>
  <sheetData>
    <row r="1" spans="1:7" ht="49.5" customHeight="1"/>
    <row r="2" spans="1:7" ht="39" customHeight="1">
      <c r="A2" s="319" t="s">
        <v>894</v>
      </c>
      <c r="B2" s="319"/>
      <c r="C2" s="3"/>
      <c r="D2" s="3"/>
      <c r="E2" s="3" t="s">
        <v>51</v>
      </c>
      <c r="F2" s="4">
        <f>COUNTIF(D9:D200,"1")</f>
        <v>2</v>
      </c>
    </row>
    <row r="3" spans="1:7" ht="46.5" customHeight="1">
      <c r="A3" s="319"/>
      <c r="B3" s="319"/>
      <c r="C3" s="3"/>
      <c r="D3" s="3"/>
      <c r="E3" s="3" t="s">
        <v>52</v>
      </c>
      <c r="F3" s="4">
        <f>COUNTIF(D9:D200,"2")</f>
        <v>2</v>
      </c>
    </row>
    <row r="4" spans="1:7" ht="27" customHeight="1">
      <c r="E4" s="3" t="s">
        <v>888</v>
      </c>
      <c r="F4" s="4">
        <f>COUNTIF(D9:D200,"3")</f>
        <v>0</v>
      </c>
      <c r="G4" s="307"/>
    </row>
    <row r="5" spans="1:7" ht="46.5" customHeight="1">
      <c r="A5" s="5" t="s">
        <v>186</v>
      </c>
      <c r="B5" s="320" t="s">
        <v>187</v>
      </c>
      <c r="C5" s="320"/>
      <c r="D5" s="321"/>
    </row>
    <row r="6" spans="1:7">
      <c r="B6" s="2"/>
      <c r="C6" s="2"/>
      <c r="D6" s="2"/>
    </row>
    <row r="7" spans="1:7" ht="19.5" thickBot="1">
      <c r="A7" s="9" t="s">
        <v>189</v>
      </c>
      <c r="B7" s="10" t="s">
        <v>188</v>
      </c>
      <c r="C7" s="11"/>
      <c r="D7" s="11"/>
    </row>
    <row r="8" spans="1:7" ht="13.5" customHeight="1">
      <c r="A8" s="20" t="s">
        <v>57</v>
      </c>
      <c r="B8" s="20" t="s">
        <v>58</v>
      </c>
      <c r="C8" s="12" t="s">
        <v>59</v>
      </c>
      <c r="D8" s="13" t="s">
        <v>60</v>
      </c>
    </row>
    <row r="9" spans="1:7" ht="44">
      <c r="A9" s="107" t="s">
        <v>189</v>
      </c>
      <c r="B9" s="23" t="s">
        <v>348</v>
      </c>
      <c r="C9" s="23" t="s">
        <v>64</v>
      </c>
      <c r="D9" s="296"/>
    </row>
    <row r="10" spans="1:7" ht="29.5">
      <c r="A10" s="107" t="s">
        <v>190</v>
      </c>
      <c r="B10" s="14" t="s">
        <v>797</v>
      </c>
      <c r="C10" s="14" t="s">
        <v>64</v>
      </c>
      <c r="D10" s="297"/>
    </row>
    <row r="11" spans="1:7" ht="29.5">
      <c r="A11" s="107" t="s">
        <v>769</v>
      </c>
      <c r="B11" s="174" t="s">
        <v>405</v>
      </c>
      <c r="C11" s="23" t="s">
        <v>64</v>
      </c>
      <c r="D11" s="296"/>
      <c r="G11" s="54"/>
    </row>
    <row r="12" spans="1:7" ht="29.5">
      <c r="A12" s="107" t="s">
        <v>770</v>
      </c>
      <c r="B12" s="18" t="s">
        <v>874</v>
      </c>
      <c r="C12" s="14" t="s">
        <v>64</v>
      </c>
      <c r="D12" s="297"/>
      <c r="G12" s="54"/>
    </row>
    <row r="13" spans="1:7">
      <c r="A13" s="107" t="s">
        <v>191</v>
      </c>
      <c r="B13" s="14" t="s">
        <v>764</v>
      </c>
      <c r="C13" s="14" t="s">
        <v>64</v>
      </c>
      <c r="D13" s="297"/>
      <c r="G13" s="54"/>
    </row>
    <row r="14" spans="1:7" ht="29.5">
      <c r="A14" s="107" t="s">
        <v>192</v>
      </c>
      <c r="B14" s="14" t="s">
        <v>398</v>
      </c>
      <c r="C14" s="14" t="s">
        <v>64</v>
      </c>
      <c r="D14" s="297"/>
      <c r="G14" s="54"/>
    </row>
    <row r="15" spans="1:7" ht="29.5">
      <c r="A15" s="107" t="s">
        <v>193</v>
      </c>
      <c r="B15" s="14" t="s">
        <v>347</v>
      </c>
      <c r="C15" s="14" t="s">
        <v>64</v>
      </c>
      <c r="D15" s="296"/>
      <c r="G15" s="54"/>
    </row>
    <row r="16" spans="1:7">
      <c r="A16" s="107" t="s">
        <v>194</v>
      </c>
      <c r="B16" s="14" t="s">
        <v>225</v>
      </c>
      <c r="C16" s="14" t="s">
        <v>64</v>
      </c>
      <c r="D16" s="297"/>
      <c r="G16" s="54"/>
    </row>
    <row r="17" spans="1:8">
      <c r="A17" s="107" t="s">
        <v>771</v>
      </c>
      <c r="B17" s="14" t="s">
        <v>226</v>
      </c>
      <c r="C17" s="14" t="s">
        <v>64</v>
      </c>
      <c r="D17" s="297"/>
      <c r="G17" s="54"/>
    </row>
    <row r="18" spans="1:8" ht="29.5">
      <c r="A18" s="107" t="s">
        <v>772</v>
      </c>
      <c r="B18" s="14" t="s">
        <v>685</v>
      </c>
      <c r="C18" s="14" t="s">
        <v>64</v>
      </c>
      <c r="D18" s="296"/>
      <c r="G18" s="308"/>
    </row>
    <row r="19" spans="1:8" ht="44">
      <c r="A19" s="107" t="s">
        <v>773</v>
      </c>
      <c r="B19" s="14" t="s">
        <v>702</v>
      </c>
      <c r="C19" s="14" t="s">
        <v>64</v>
      </c>
      <c r="D19" s="296"/>
      <c r="G19" s="308"/>
    </row>
    <row r="20" spans="1:8" ht="44">
      <c r="A20" s="107" t="s">
        <v>774</v>
      </c>
      <c r="B20" s="14" t="s">
        <v>875</v>
      </c>
      <c r="C20" s="14" t="s">
        <v>64</v>
      </c>
      <c r="D20" s="296"/>
      <c r="G20" s="308"/>
    </row>
    <row r="21" spans="1:8" ht="29.5">
      <c r="A21" s="107" t="s">
        <v>775</v>
      </c>
      <c r="B21" s="14" t="s">
        <v>703</v>
      </c>
      <c r="C21" s="14" t="s">
        <v>64</v>
      </c>
      <c r="D21" s="297"/>
      <c r="G21" s="308"/>
    </row>
    <row r="22" spans="1:8">
      <c r="A22" s="107" t="s">
        <v>776</v>
      </c>
      <c r="B22" s="23" t="s">
        <v>227</v>
      </c>
      <c r="C22" s="14" t="s">
        <v>64</v>
      </c>
      <c r="D22" s="296"/>
      <c r="G22" s="308"/>
    </row>
    <row r="23" spans="1:8" ht="44">
      <c r="A23" s="107" t="s">
        <v>777</v>
      </c>
      <c r="B23" s="14" t="s">
        <v>602</v>
      </c>
      <c r="C23" s="14" t="s">
        <v>64</v>
      </c>
      <c r="D23" s="297"/>
      <c r="G23" s="54"/>
      <c r="H23" s="83"/>
    </row>
    <row r="24" spans="1:8" ht="29.5">
      <c r="A24" s="107" t="s">
        <v>778</v>
      </c>
      <c r="B24" s="14" t="s">
        <v>349</v>
      </c>
      <c r="C24" s="18" t="s">
        <v>76</v>
      </c>
      <c r="D24" s="297">
        <v>1</v>
      </c>
      <c r="G24" s="54"/>
    </row>
    <row r="25" spans="1:8" ht="44">
      <c r="A25" s="107" t="s">
        <v>779</v>
      </c>
      <c r="B25" s="16" t="s">
        <v>820</v>
      </c>
      <c r="C25" s="18" t="s">
        <v>64</v>
      </c>
      <c r="D25" s="297"/>
      <c r="G25" s="54"/>
      <c r="H25" s="54"/>
    </row>
    <row r="26" spans="1:8" ht="29.5">
      <c r="A26" s="107" t="s">
        <v>780</v>
      </c>
      <c r="B26" s="14" t="s">
        <v>832</v>
      </c>
      <c r="C26" s="18" t="s">
        <v>64</v>
      </c>
      <c r="D26" s="297"/>
      <c r="G26" s="54"/>
      <c r="H26" s="54"/>
    </row>
    <row r="27" spans="1:8" ht="29.5">
      <c r="A27" s="107" t="s">
        <v>781</v>
      </c>
      <c r="B27" s="14" t="s">
        <v>767</v>
      </c>
      <c r="C27" s="18" t="s">
        <v>76</v>
      </c>
      <c r="D27" s="297">
        <v>2</v>
      </c>
      <c r="G27" s="54"/>
      <c r="H27" s="54"/>
    </row>
    <row r="28" spans="1:8" ht="44">
      <c r="A28" s="107" t="s">
        <v>782</v>
      </c>
      <c r="B28" s="14" t="s">
        <v>401</v>
      </c>
      <c r="C28" s="18" t="s">
        <v>64</v>
      </c>
      <c r="D28" s="298"/>
      <c r="E28" s="103"/>
      <c r="F28" s="103"/>
      <c r="G28" s="103"/>
      <c r="H28" s="103"/>
    </row>
    <row r="29" spans="1:8" ht="29.5">
      <c r="A29" s="107" t="s">
        <v>783</v>
      </c>
      <c r="B29" s="14" t="s">
        <v>350</v>
      </c>
      <c r="C29" s="18" t="s">
        <v>64</v>
      </c>
      <c r="D29" s="299"/>
      <c r="E29" s="102"/>
      <c r="F29" s="102"/>
      <c r="G29" s="103"/>
      <c r="H29" s="102"/>
    </row>
    <row r="30" spans="1:8">
      <c r="A30" s="107" t="s">
        <v>784</v>
      </c>
      <c r="B30" s="14" t="s">
        <v>766</v>
      </c>
      <c r="C30" s="14" t="s">
        <v>76</v>
      </c>
      <c r="D30" s="297">
        <v>1</v>
      </c>
    </row>
    <row r="31" spans="1:8" ht="58.5">
      <c r="A31" s="107" t="s">
        <v>785</v>
      </c>
      <c r="B31" s="98" t="s">
        <v>351</v>
      </c>
      <c r="C31" s="14" t="s">
        <v>64</v>
      </c>
      <c r="D31" s="297"/>
    </row>
    <row r="32" spans="1:8" ht="29.5">
      <c r="A32" s="107" t="s">
        <v>786</v>
      </c>
      <c r="B32" s="14" t="s">
        <v>704</v>
      </c>
      <c r="C32" s="14" t="s">
        <v>64</v>
      </c>
      <c r="D32" s="296"/>
    </row>
    <row r="33" spans="1:7">
      <c r="A33" s="107" t="s">
        <v>787</v>
      </c>
      <c r="B33" s="14" t="s">
        <v>705</v>
      </c>
      <c r="C33" s="14" t="s">
        <v>64</v>
      </c>
      <c r="D33" s="297"/>
    </row>
    <row r="34" spans="1:7" ht="29.5">
      <c r="A34" s="107" t="s">
        <v>788</v>
      </c>
      <c r="B34" s="14" t="s">
        <v>343</v>
      </c>
      <c r="C34" s="14" t="s">
        <v>64</v>
      </c>
      <c r="D34" s="297"/>
    </row>
    <row r="35" spans="1:7" ht="29.5">
      <c r="A35" s="107" t="s">
        <v>789</v>
      </c>
      <c r="B35" s="14" t="s">
        <v>223</v>
      </c>
      <c r="C35" s="14" t="s">
        <v>64</v>
      </c>
      <c r="D35" s="297"/>
    </row>
    <row r="36" spans="1:7" s="24" customFormat="1" ht="29.5">
      <c r="A36" s="107" t="s">
        <v>790</v>
      </c>
      <c r="B36" s="14" t="s">
        <v>344</v>
      </c>
      <c r="C36" s="14" t="s">
        <v>64</v>
      </c>
      <c r="D36" s="296"/>
      <c r="E36" s="1"/>
      <c r="F36" s="1"/>
      <c r="G36" s="306"/>
    </row>
    <row r="37" spans="1:7">
      <c r="A37" s="107" t="s">
        <v>791</v>
      </c>
      <c r="B37" s="16" t="s">
        <v>744</v>
      </c>
      <c r="C37" s="14" t="s">
        <v>64</v>
      </c>
      <c r="D37" s="296"/>
    </row>
    <row r="38" spans="1:7">
      <c r="A38" s="107" t="s">
        <v>792</v>
      </c>
      <c r="B38" s="14" t="s">
        <v>706</v>
      </c>
      <c r="C38" s="14" t="s">
        <v>64</v>
      </c>
      <c r="D38" s="297"/>
    </row>
    <row r="39" spans="1:7">
      <c r="A39" s="107" t="s">
        <v>793</v>
      </c>
      <c r="B39" s="14" t="s">
        <v>345</v>
      </c>
      <c r="C39" s="14" t="s">
        <v>64</v>
      </c>
      <c r="D39" s="297"/>
    </row>
    <row r="40" spans="1:7">
      <c r="A40" s="107" t="s">
        <v>794</v>
      </c>
      <c r="B40" s="14" t="s">
        <v>346</v>
      </c>
      <c r="C40" s="14" t="s">
        <v>64</v>
      </c>
      <c r="D40" s="297"/>
    </row>
    <row r="41" spans="1:7" ht="35.15" customHeight="1">
      <c r="A41" s="107" t="s">
        <v>795</v>
      </c>
      <c r="B41" s="14" t="s">
        <v>224</v>
      </c>
      <c r="C41" s="14" t="s">
        <v>64</v>
      </c>
      <c r="D41" s="297"/>
    </row>
    <row r="42" spans="1:7" ht="30" thickBot="1">
      <c r="A42" s="115" t="s">
        <v>796</v>
      </c>
      <c r="B42" s="114" t="s">
        <v>867</v>
      </c>
      <c r="C42" s="114" t="s">
        <v>76</v>
      </c>
      <c r="D42" s="300">
        <v>2</v>
      </c>
    </row>
    <row r="43" spans="1:7">
      <c r="A43" s="54"/>
      <c r="B43" s="54"/>
    </row>
    <row r="47" spans="1:7" ht="16">
      <c r="B47" s="123"/>
    </row>
  </sheetData>
  <mergeCells count="2">
    <mergeCell ref="A2:B3"/>
    <mergeCell ref="B5:D5"/>
  </mergeCells>
  <phoneticPr fontId="26"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showGridLines="0" zoomScale="120" zoomScaleNormal="120" workbookViewId="0">
      <selection activeCell="A4" sqref="A4"/>
    </sheetView>
  </sheetViews>
  <sheetFormatPr defaultColWidth="8.7265625" defaultRowHeight="13.5"/>
  <cols>
    <col min="1" max="1" width="11.1796875" style="200" customWidth="1"/>
    <col min="2" max="2" width="70.26953125" style="200" customWidth="1"/>
    <col min="3" max="3" width="13.81640625" style="200" bestFit="1" customWidth="1"/>
    <col min="4" max="5" width="31.26953125" style="200" customWidth="1"/>
    <col min="6" max="6" width="44.453125" style="75" bestFit="1" customWidth="1"/>
    <col min="7" max="16384" width="8.7265625" style="41"/>
  </cols>
  <sheetData>
    <row r="1" spans="1:7" ht="45.65" customHeight="1"/>
    <row r="2" spans="1:7" ht="45.65" customHeight="1">
      <c r="A2" s="319" t="s">
        <v>894</v>
      </c>
      <c r="B2" s="319"/>
      <c r="C2" s="319"/>
      <c r="D2" s="319"/>
      <c r="E2" s="74"/>
      <c r="F2" s="317"/>
    </row>
    <row r="3" spans="1:7" ht="45.65" customHeight="1">
      <c r="A3" s="319"/>
      <c r="B3" s="319"/>
      <c r="C3" s="319"/>
      <c r="D3" s="319"/>
      <c r="E3" s="74"/>
      <c r="F3" s="317"/>
    </row>
    <row r="4" spans="1:7" ht="18" customHeight="1">
      <c r="F4" s="200"/>
    </row>
    <row r="5" spans="1:7" ht="55.5" customHeight="1">
      <c r="A5" s="201" t="s">
        <v>195</v>
      </c>
      <c r="B5" s="322" t="s">
        <v>196</v>
      </c>
      <c r="C5" s="322"/>
      <c r="D5" s="323"/>
      <c r="E5" s="202"/>
      <c r="F5" s="202"/>
    </row>
    <row r="6" spans="1:7" ht="15">
      <c r="A6" s="203" t="s">
        <v>197</v>
      </c>
      <c r="B6" s="203" t="s">
        <v>58</v>
      </c>
      <c r="C6" s="203" t="s">
        <v>198</v>
      </c>
      <c r="D6" s="203" t="s">
        <v>199</v>
      </c>
      <c r="E6" s="204" t="s">
        <v>59</v>
      </c>
      <c r="F6" s="77" t="s">
        <v>62</v>
      </c>
    </row>
    <row r="7" spans="1:7" ht="48">
      <c r="A7" s="205" t="s">
        <v>228</v>
      </c>
      <c r="B7" s="205" t="s">
        <v>229</v>
      </c>
      <c r="C7" s="205" t="s">
        <v>230</v>
      </c>
      <c r="D7" s="205" t="s">
        <v>231</v>
      </c>
      <c r="E7" s="205" t="s">
        <v>64</v>
      </c>
      <c r="F7" s="76"/>
      <c r="G7"/>
    </row>
    <row r="8" spans="1:7" ht="24">
      <c r="A8" s="205" t="s">
        <v>232</v>
      </c>
      <c r="B8" s="205" t="s">
        <v>233</v>
      </c>
      <c r="C8" s="205" t="s">
        <v>234</v>
      </c>
      <c r="D8" s="205" t="s">
        <v>235</v>
      </c>
      <c r="E8" s="205" t="s">
        <v>64</v>
      </c>
      <c r="F8" s="76"/>
      <c r="G8"/>
    </row>
    <row r="9" spans="1:7" ht="48">
      <c r="A9" s="205" t="s">
        <v>236</v>
      </c>
      <c r="B9" s="205" t="s">
        <v>237</v>
      </c>
      <c r="C9" s="205" t="s">
        <v>238</v>
      </c>
      <c r="D9" s="205" t="s">
        <v>239</v>
      </c>
      <c r="E9" s="205" t="s">
        <v>64</v>
      </c>
      <c r="F9" s="316"/>
      <c r="G9"/>
    </row>
    <row r="10" spans="1:7" ht="36">
      <c r="A10" s="205" t="s">
        <v>240</v>
      </c>
      <c r="B10" s="205" t="s">
        <v>241</v>
      </c>
      <c r="C10" s="205" t="s">
        <v>242</v>
      </c>
      <c r="D10" s="205" t="s">
        <v>243</v>
      </c>
      <c r="E10" s="205" t="s">
        <v>64</v>
      </c>
      <c r="F10" s="76"/>
      <c r="G10"/>
    </row>
    <row r="11" spans="1:7" ht="48">
      <c r="A11" s="205" t="s">
        <v>244</v>
      </c>
      <c r="B11" s="205" t="s">
        <v>245</v>
      </c>
      <c r="C11" s="205" t="s">
        <v>246</v>
      </c>
      <c r="D11" s="205" t="s">
        <v>247</v>
      </c>
      <c r="E11" s="205" t="s">
        <v>64</v>
      </c>
      <c r="F11" s="76"/>
      <c r="G11"/>
    </row>
    <row r="12" spans="1:7" ht="24">
      <c r="A12" s="205" t="s">
        <v>248</v>
      </c>
      <c r="B12" s="205" t="s">
        <v>249</v>
      </c>
      <c r="C12" s="205" t="s">
        <v>250</v>
      </c>
      <c r="D12" s="205" t="s">
        <v>251</v>
      </c>
      <c r="E12" s="205" t="s">
        <v>64</v>
      </c>
      <c r="F12" s="76"/>
      <c r="G12"/>
    </row>
    <row r="13" spans="1:7" ht="24">
      <c r="A13" s="205" t="s">
        <v>252</v>
      </c>
      <c r="B13" s="205" t="s">
        <v>253</v>
      </c>
      <c r="C13" s="205" t="s">
        <v>254</v>
      </c>
      <c r="D13" s="205" t="s">
        <v>255</v>
      </c>
      <c r="E13" s="205" t="s">
        <v>64</v>
      </c>
      <c r="F13" s="76"/>
      <c r="G13"/>
    </row>
    <row r="14" spans="1:7" ht="60">
      <c r="A14" s="205" t="s">
        <v>256</v>
      </c>
      <c r="B14" s="205" t="s">
        <v>257</v>
      </c>
      <c r="C14" s="205" t="s">
        <v>258</v>
      </c>
      <c r="D14" s="205" t="s">
        <v>259</v>
      </c>
      <c r="E14" s="205" t="s">
        <v>64</v>
      </c>
      <c r="F14" s="76"/>
      <c r="G14"/>
    </row>
    <row r="15" spans="1:7" ht="24">
      <c r="A15" s="205" t="s">
        <v>260</v>
      </c>
      <c r="B15" s="205" t="s">
        <v>261</v>
      </c>
      <c r="C15" s="205" t="s">
        <v>262</v>
      </c>
      <c r="D15" s="205" t="s">
        <v>263</v>
      </c>
      <c r="E15" s="205" t="s">
        <v>64</v>
      </c>
      <c r="F15" s="76"/>
      <c r="G15"/>
    </row>
    <row r="16" spans="1:7" ht="24">
      <c r="A16" s="205" t="s">
        <v>264</v>
      </c>
      <c r="B16" s="205" t="s">
        <v>265</v>
      </c>
      <c r="C16" s="205" t="s">
        <v>266</v>
      </c>
      <c r="D16" s="205" t="s">
        <v>267</v>
      </c>
      <c r="E16" s="205" t="s">
        <v>64</v>
      </c>
      <c r="F16" s="76"/>
      <c r="G16"/>
    </row>
    <row r="17" spans="1:7" ht="48">
      <c r="A17" s="205" t="s">
        <v>268</v>
      </c>
      <c r="B17" s="205" t="s">
        <v>269</v>
      </c>
      <c r="C17" s="205" t="s">
        <v>270</v>
      </c>
      <c r="D17" s="205" t="s">
        <v>271</v>
      </c>
      <c r="E17" s="205" t="s">
        <v>64</v>
      </c>
      <c r="F17" s="76"/>
      <c r="G17"/>
    </row>
    <row r="18" spans="1:7" ht="108">
      <c r="A18" s="205" t="s">
        <v>272</v>
      </c>
      <c r="B18" s="205" t="s">
        <v>273</v>
      </c>
      <c r="C18" s="205" t="s">
        <v>274</v>
      </c>
      <c r="D18" s="205" t="s">
        <v>275</v>
      </c>
      <c r="E18" s="205" t="s">
        <v>64</v>
      </c>
      <c r="F18" s="76"/>
      <c r="G18"/>
    </row>
    <row r="19" spans="1:7" ht="24">
      <c r="A19" s="205" t="s">
        <v>276</v>
      </c>
      <c r="B19" s="205" t="s">
        <v>277</v>
      </c>
      <c r="C19" s="205" t="s">
        <v>278</v>
      </c>
      <c r="D19" s="205" t="s">
        <v>279</v>
      </c>
      <c r="E19" s="205" t="s">
        <v>64</v>
      </c>
      <c r="F19" s="76"/>
      <c r="G19"/>
    </row>
    <row r="20" spans="1:7" ht="24">
      <c r="A20" s="205" t="s">
        <v>280</v>
      </c>
      <c r="B20" s="205" t="s">
        <v>281</v>
      </c>
      <c r="C20" s="205" t="s">
        <v>282</v>
      </c>
      <c r="D20" s="205" t="s">
        <v>283</v>
      </c>
      <c r="E20" s="205" t="s">
        <v>64</v>
      </c>
      <c r="F20" s="76"/>
      <c r="G20"/>
    </row>
    <row r="21" spans="1:7" ht="24">
      <c r="A21" s="205" t="s">
        <v>284</v>
      </c>
      <c r="B21" s="205" t="s">
        <v>285</v>
      </c>
      <c r="C21" s="205" t="s">
        <v>286</v>
      </c>
      <c r="D21" s="205" t="s">
        <v>287</v>
      </c>
      <c r="E21" s="205" t="s">
        <v>76</v>
      </c>
      <c r="F21" s="76"/>
      <c r="G21"/>
    </row>
    <row r="22" spans="1:7" ht="60">
      <c r="A22" s="205" t="s">
        <v>288</v>
      </c>
      <c r="B22" s="206" t="s">
        <v>638</v>
      </c>
      <c r="C22" s="205" t="s">
        <v>289</v>
      </c>
      <c r="D22" s="205" t="s">
        <v>290</v>
      </c>
      <c r="E22" s="205" t="s">
        <v>64</v>
      </c>
      <c r="F22" s="76"/>
      <c r="G22"/>
    </row>
    <row r="23" spans="1:7" ht="60">
      <c r="A23" s="205" t="s">
        <v>291</v>
      </c>
      <c r="B23" s="205" t="s">
        <v>292</v>
      </c>
      <c r="C23" s="205" t="s">
        <v>293</v>
      </c>
      <c r="D23" s="205" t="s">
        <v>294</v>
      </c>
      <c r="E23" s="205" t="s">
        <v>64</v>
      </c>
      <c r="F23" s="76"/>
      <c r="G23"/>
    </row>
    <row r="24" spans="1:7" ht="36">
      <c r="A24" s="205" t="s">
        <v>295</v>
      </c>
      <c r="B24" s="205" t="s">
        <v>296</v>
      </c>
      <c r="C24" s="205" t="s">
        <v>297</v>
      </c>
      <c r="D24" s="205" t="s">
        <v>298</v>
      </c>
      <c r="E24" s="205" t="s">
        <v>64</v>
      </c>
      <c r="F24" s="76"/>
      <c r="G24"/>
    </row>
    <row r="25" spans="1:7" ht="36">
      <c r="A25" s="205" t="s">
        <v>299</v>
      </c>
      <c r="B25" s="205" t="s">
        <v>300</v>
      </c>
      <c r="C25" s="205" t="s">
        <v>301</v>
      </c>
      <c r="D25" s="205" t="s">
        <v>302</v>
      </c>
      <c r="E25" s="205" t="s">
        <v>64</v>
      </c>
      <c r="F25" s="76"/>
      <c r="G25"/>
    </row>
    <row r="26" spans="1:7" ht="60">
      <c r="A26" s="205" t="s">
        <v>303</v>
      </c>
      <c r="B26" s="205" t="s">
        <v>304</v>
      </c>
      <c r="C26" s="205" t="s">
        <v>305</v>
      </c>
      <c r="D26" s="205" t="s">
        <v>306</v>
      </c>
      <c r="E26" s="205" t="s">
        <v>64</v>
      </c>
      <c r="F26" s="76"/>
      <c r="G26"/>
    </row>
    <row r="27" spans="1:7" ht="24">
      <c r="A27" s="205" t="s">
        <v>307</v>
      </c>
      <c r="B27" s="205" t="s">
        <v>308</v>
      </c>
      <c r="C27" s="205" t="s">
        <v>309</v>
      </c>
      <c r="D27" s="205" t="s">
        <v>310</v>
      </c>
      <c r="E27" s="205" t="s">
        <v>64</v>
      </c>
      <c r="F27" s="76"/>
      <c r="G27"/>
    </row>
    <row r="28" spans="1:7" ht="60">
      <c r="A28" s="205" t="s">
        <v>311</v>
      </c>
      <c r="B28" s="205" t="s">
        <v>312</v>
      </c>
      <c r="C28" s="205" t="s">
        <v>313</v>
      </c>
      <c r="D28" s="205" t="s">
        <v>314</v>
      </c>
      <c r="E28" s="205" t="s">
        <v>64</v>
      </c>
      <c r="F28" s="76"/>
      <c r="G28"/>
    </row>
    <row r="29" spans="1:7" ht="36">
      <c r="A29" s="205" t="s">
        <v>315</v>
      </c>
      <c r="B29" s="205" t="s">
        <v>316</v>
      </c>
      <c r="C29" s="205" t="s">
        <v>317</v>
      </c>
      <c r="D29" s="205" t="s">
        <v>318</v>
      </c>
      <c r="E29" s="205" t="s">
        <v>64</v>
      </c>
      <c r="F29" s="76"/>
      <c r="G29"/>
    </row>
    <row r="30" spans="1:7" ht="14.5">
      <c r="A30" s="205" t="s">
        <v>319</v>
      </c>
      <c r="B30" s="205" t="s">
        <v>320</v>
      </c>
      <c r="C30" s="205" t="s">
        <v>321</v>
      </c>
      <c r="D30" s="205" t="s">
        <v>322</v>
      </c>
      <c r="E30" s="205" t="s">
        <v>64</v>
      </c>
      <c r="F30" s="76"/>
      <c r="G30"/>
    </row>
    <row r="31" spans="1:7" ht="36">
      <c r="A31" s="205" t="s">
        <v>323</v>
      </c>
      <c r="B31" s="205" t="s">
        <v>324</v>
      </c>
      <c r="C31" s="205" t="s">
        <v>325</v>
      </c>
      <c r="D31" s="205" t="s">
        <v>326</v>
      </c>
      <c r="E31" s="205" t="s">
        <v>64</v>
      </c>
      <c r="F31" s="76"/>
      <c r="G31"/>
    </row>
    <row r="32" spans="1:7" ht="36">
      <c r="A32" s="205" t="s">
        <v>327</v>
      </c>
      <c r="B32" s="205" t="s">
        <v>328</v>
      </c>
      <c r="C32" s="205" t="s">
        <v>329</v>
      </c>
      <c r="D32" s="205" t="s">
        <v>330</v>
      </c>
      <c r="E32" s="205" t="s">
        <v>64</v>
      </c>
      <c r="F32" s="76"/>
      <c r="G32"/>
    </row>
    <row r="33" spans="1:7" ht="24">
      <c r="A33" s="205" t="s">
        <v>331</v>
      </c>
      <c r="B33" s="205" t="s">
        <v>332</v>
      </c>
      <c r="C33" s="205" t="s">
        <v>333</v>
      </c>
      <c r="D33" s="205" t="s">
        <v>334</v>
      </c>
      <c r="E33" s="205" t="s">
        <v>64</v>
      </c>
      <c r="F33" s="76"/>
      <c r="G33"/>
    </row>
    <row r="36" spans="1:7" ht="14.5">
      <c r="A36" s="207"/>
    </row>
    <row r="39" spans="1:7" ht="14.5">
      <c r="D39" s="208"/>
    </row>
    <row r="40" spans="1:7" ht="14.5">
      <c r="D40" s="208"/>
    </row>
  </sheetData>
  <autoFilter ref="A6:D6"/>
  <mergeCells count="3">
    <mergeCell ref="A2:B3"/>
    <mergeCell ref="C2:D3"/>
    <mergeCell ref="B5:D5"/>
  </mergeCells>
  <pageMargins left="0.75" right="0.75" top="1" bottom="1" header="0.5" footer="0.5"/>
  <pageSetup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820F63F5302F94DBAB32F77E07F11C3" ma:contentTypeVersion="2" ma:contentTypeDescription="Skapa ett nytt dokument." ma:contentTypeScope="" ma:versionID="7e191379739293d0cb73276b32cf9aa9">
  <xsd:schema xmlns:xsd="http://www.w3.org/2001/XMLSchema" xmlns:xs="http://www.w3.org/2001/XMLSchema" xmlns:p="http://schemas.microsoft.com/office/2006/metadata/properties" xmlns:ns2="960fecf9-8b72-41ef-af7d-72bd9f43c39a" targetNamespace="http://schemas.microsoft.com/office/2006/metadata/properties" ma:root="true" ma:fieldsID="3776eeb4e81a951924726998672de207" ns2:_="">
    <xsd:import namespace="960fecf9-8b72-41ef-af7d-72bd9f43c39a"/>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fecf9-8b72-41ef-af7d-72bd9f43c39a"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960fecf9-8b72-41ef-af7d-72bd9f43c39a">
      <UserInfo>
        <DisplayName>Ida Johansson</DisplayName>
        <AccountId>16</AccountId>
        <AccountType/>
      </UserInfo>
      <UserInfo>
        <DisplayName>Maria Haag</DisplayName>
        <AccountId>19</AccountId>
        <AccountType/>
      </UserInfo>
      <UserInfo>
        <DisplayName>Oana Jonsson</DisplayName>
        <AccountId>18</AccountId>
        <AccountType/>
      </UserInfo>
      <UserInfo>
        <DisplayName>Linda Engelmark</DisplayName>
        <AccountId>8</AccountId>
        <AccountType/>
      </UserInfo>
    </SharedWithUsers>
  </documentManagement>
</p:properties>
</file>

<file path=customXml/itemProps1.xml><?xml version="1.0" encoding="utf-8"?>
<ds:datastoreItem xmlns:ds="http://schemas.openxmlformats.org/officeDocument/2006/customXml" ds:itemID="{7053240B-9BDC-4F9D-B9E4-08536B6BD7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fecf9-8b72-41ef-af7d-72bd9f43c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14FE61-0540-450C-A0CF-89F60CDFC277}">
  <ds:schemaRefs>
    <ds:schemaRef ds:uri="http://schemas.microsoft.com/sharepoint/v3/contenttype/forms"/>
  </ds:schemaRefs>
</ds:datastoreItem>
</file>

<file path=customXml/itemProps3.xml><?xml version="1.0" encoding="utf-8"?>
<ds:datastoreItem xmlns:ds="http://schemas.openxmlformats.org/officeDocument/2006/customXml" ds:itemID="{3FC763C7-7883-4752-A288-89FC7D12D5FA}">
  <ds:schemaRef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960fecf9-8b72-41ef-af7d-72bd9f43c39a"/>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Processer</vt:lpstr>
      <vt:lpstr>Ordlista</vt:lpstr>
      <vt:lpstr>Testfall</vt:lpstr>
      <vt:lpstr>Funktionella krav</vt:lpstr>
      <vt:lpstr>Ickefunktionella krav</vt:lpstr>
      <vt:lpstr>3. Informationssäkerhet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Ingela Berlin</dc:creator>
  <cp:keywords/>
  <dc:description/>
  <cp:lastModifiedBy>Amadéus Strömmer</cp:lastModifiedBy>
  <cp:revision/>
  <cp:lastPrinted>2025-08-22T08:28:47Z</cp:lastPrinted>
  <dcterms:created xsi:type="dcterms:W3CDTF">2023-12-27T09:43:57Z</dcterms:created>
  <dcterms:modified xsi:type="dcterms:W3CDTF">2025-10-16T07:40:24Z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0x0101007820F63F5302F94DBAB32F77E07F11C3</vt:lpwstr>
  </property>
  <property fmtid="{D5CDD505-2E9C-101B-9397-08002B2CF9AE}" pid="3" name="MediaServiceImageTags">
    <vt:lpwstr/>
  </property>
</Properties>
</file>