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F:\KSF\Ekonomi\Upphandling\(1) Ärenden\2025\047 - Ekonomisystem 2\06. UHD inkl frågor\UHD till granskning\"/>
    </mc:Choice>
  </mc:AlternateContent>
  <xr:revisionPtr revIDLastSave="0" documentId="13_ncr:1_{A721517D-C6B5-436E-A3A8-70D5A46A84BA}" xr6:coauthVersionLast="47" xr6:coauthVersionMax="47" xr10:uidLastSave="{00000000-0000-0000-0000-000000000000}"/>
  <bookViews>
    <workbookView xWindow="28690" yWindow="-110" windowWidth="51820" windowHeight="21220" tabRatio="795" xr2:uid="{00000000-000D-0000-FFFF-FFFF00000000}"/>
  </bookViews>
  <sheets>
    <sheet name="Information" sheetId="66" r:id="rId1"/>
    <sheet name="1. Generellt" sheetId="15" r:id="rId2"/>
    <sheet name="2. Redovisning" sheetId="42" r:id="rId3"/>
    <sheet name="3. Kundreskontra" sheetId="59" r:id="rId4"/>
    <sheet name="7. Logistik" sheetId="53" state="hidden" r:id="rId5"/>
    <sheet name="8. Försäljning" sheetId="37" state="hidden" r:id="rId6"/>
    <sheet name="4. Leverantörsreskontra" sheetId="50" r:id="rId7"/>
    <sheet name="5. Anläggningsregister" sheetId="51" r:id="rId8"/>
    <sheet name="6. Projekt" sheetId="54" r:id="rId9"/>
    <sheet name="7. Införande och förvaltning" sheetId="57" r:id="rId10"/>
    <sheet name="8. Tekniska" sheetId="58" r:id="rId11"/>
    <sheet name="9. Övriga" sheetId="60" r:id="rId12"/>
    <sheet name="Priser" sheetId="61" r:id="rId13"/>
    <sheet name="Utv.Agilitet" sheetId="62" r:id="rId14"/>
    <sheet name="Utv.Användbarhet" sheetId="64" r:id="rId15"/>
    <sheet name="Utv.Införandeplan" sheetId="63" r:id="rId16"/>
    <sheet name="Jämförelsesumma" sheetId="65" r:id="rId17"/>
  </sheets>
  <definedNames>
    <definedName name="_xlnm._FilterDatabase" localSheetId="1" hidden="1">'1. Generellt'!$A$3:$H$73</definedName>
    <definedName name="_xlnm._FilterDatabase" localSheetId="2" hidden="1">'2. Redovisning'!$A$3:$C$53</definedName>
    <definedName name="_xlnm._FilterDatabase" localSheetId="3" hidden="1">'3. Kundreskontra'!$A$3:$T$109</definedName>
    <definedName name="_xlnm._FilterDatabase" localSheetId="6" hidden="1">'4. Leverantörsreskontra'!$A$3:$N$40</definedName>
    <definedName name="_xlnm._FilterDatabase" localSheetId="8" hidden="1">'6. Projekt'!$A$5:$C$5</definedName>
    <definedName name="_xlnm._FilterDatabase" localSheetId="9" hidden="1">'7. Införande och förvaltning'!$A$3:$L$82</definedName>
    <definedName name="_xlnm._FilterDatabase" localSheetId="10" hidden="1">'8. Tekniska'!$A$3:$G$81</definedName>
    <definedName name="_xlnm._FilterDatabase" localSheetId="11" hidden="1">'9. Övriga'!$A$3:$C$19</definedName>
    <definedName name="_xlnm.Print_Area" localSheetId="1">'1. Generellt'!$A$1:$F$75</definedName>
    <definedName name="_xlnm.Print_Area" localSheetId="2">'2. Redovisning'!$B$1:$F$54</definedName>
    <definedName name="_xlnm.Print_Area" localSheetId="3">'3. Kundreskontra'!$A$1:$F$109</definedName>
    <definedName name="_xlnm.Print_Area" localSheetId="6">'4. Leverantörsreskontra'!$A$1:$F$41</definedName>
    <definedName name="_xlnm.Print_Area" localSheetId="7">'5. Anläggningsregister'!$A$1:$E$34</definedName>
    <definedName name="_xlnm.Print_Area" localSheetId="8">'6. Projekt'!$A$1:$D$16</definedName>
    <definedName name="_xlnm.Print_Area" localSheetId="9">'7. Införande och förvaltning'!$A$1:$F$83</definedName>
    <definedName name="_xlnm.Print_Area" localSheetId="4">'7. Logistik'!$A$1:$F$40</definedName>
    <definedName name="_xlnm.Print_Area" localSheetId="5">'8. Försäljning'!$A$1:$F$57</definedName>
    <definedName name="_xlnm.Print_Area" localSheetId="10">'8. Tekniska'!$A$1:$F$81</definedName>
    <definedName name="_xlnm.Print_Area" localSheetId="11">'9. Övriga'!$A$1:$D$19</definedName>
    <definedName name="_xlnm.Print_Area" localSheetId="0">Information!$A$1:$D$16</definedName>
    <definedName name="_xlnm.Print_Area" localSheetId="16">Jämförelsesumma!$A$1:$H$17</definedName>
    <definedName name="_xlnm.Print_Area" localSheetId="12">Priser!$A$1:$I$12</definedName>
    <definedName name="_xlnm.Print_Area" localSheetId="13">Utv.Agilitet!$A$1:$L$21</definedName>
    <definedName name="_xlnm.Print_Area" localSheetId="14">Utv.Användbarhet!$A$1:$H$62</definedName>
    <definedName name="_xlnm.Print_Area" localSheetId="15">Utv.Införandeplan!$A$1:$M$14</definedName>
    <definedName name="_xlnm.Print_Titles" localSheetId="1">'1. Generellt'!$3:$4</definedName>
    <definedName name="_xlnm.Print_Titles" localSheetId="2">'2. Redovisning'!$3:$4</definedName>
    <definedName name="_xlnm.Print_Titles" localSheetId="3">'3. Kundreskontra'!$3:$4</definedName>
    <definedName name="_xlnm.Print_Titles" localSheetId="6">'4. Leverantörsreskontra'!$3:$4</definedName>
    <definedName name="_xlnm.Print_Titles" localSheetId="7">'5. Anläggningsregister'!$3:$4</definedName>
    <definedName name="_xlnm.Print_Titles" localSheetId="4">'7. Logistik'!$1:$2</definedName>
    <definedName name="_xlnm.Print_Titles" localSheetId="5">'8. Försäljning'!$1:$2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58" l="1"/>
  <c r="E24" i="59"/>
  <c r="E108" i="59"/>
  <c r="E73" i="59"/>
  <c r="F73" i="59" s="1"/>
  <c r="E40" i="15"/>
  <c r="E38" i="15"/>
  <c r="F66" i="57" l="1"/>
  <c r="F65" i="57"/>
  <c r="F64" i="57"/>
  <c r="C7" i="65" s="1"/>
  <c r="F63" i="57"/>
  <c r="E24" i="42"/>
  <c r="F24" i="42" s="1"/>
  <c r="F82" i="57" l="1"/>
  <c r="E54" i="42"/>
  <c r="E49" i="59"/>
  <c r="F49" i="59" s="1"/>
  <c r="E71" i="15"/>
  <c r="E37" i="15"/>
  <c r="F40" i="15"/>
  <c r="F38" i="15"/>
  <c r="E31" i="15" l="1"/>
  <c r="F31" i="15" s="1"/>
  <c r="A1" i="65"/>
  <c r="A1" i="63"/>
  <c r="A1" i="64"/>
  <c r="A1" i="62"/>
  <c r="A1" i="61"/>
  <c r="A1" i="60"/>
  <c r="A1" i="58"/>
  <c r="A1" i="57"/>
  <c r="A1" i="54"/>
  <c r="A1" i="51"/>
  <c r="A1" i="50"/>
  <c r="A1" i="59"/>
  <c r="A1" i="42"/>
  <c r="E38" i="50"/>
  <c r="F38" i="50" s="1"/>
  <c r="E39" i="50" l="1"/>
  <c r="F39" i="50" s="1"/>
  <c r="C56" i="64"/>
  <c r="G9" i="65" l="1"/>
  <c r="E4" i="63"/>
  <c r="G8" i="65"/>
  <c r="D4" i="62"/>
  <c r="G10" i="65"/>
  <c r="C10" i="65" s="1"/>
  <c r="D1" i="50" l="1"/>
  <c r="D1" i="60"/>
  <c r="D1" i="57" l="1"/>
  <c r="D1" i="54"/>
  <c r="D1" i="51"/>
  <c r="F33" i="58" l="1"/>
  <c r="E31" i="58"/>
  <c r="E29" i="57"/>
  <c r="E81" i="57" s="1"/>
  <c r="F108" i="59"/>
  <c r="E56" i="59"/>
  <c r="F56" i="59" s="1"/>
  <c r="E48" i="59"/>
  <c r="F48" i="59" s="1"/>
  <c r="E47" i="59"/>
  <c r="F47" i="59" s="1"/>
  <c r="E40" i="59"/>
  <c r="F40" i="59" s="1"/>
  <c r="E41" i="59"/>
  <c r="F41" i="59" s="1"/>
  <c r="F24" i="59"/>
  <c r="F71" i="15"/>
  <c r="F37" i="15"/>
  <c r="E81" i="58" l="1"/>
  <c r="F31" i="58"/>
  <c r="E40" i="50"/>
  <c r="E80" i="57"/>
  <c r="F29" i="57"/>
  <c r="D1" i="42"/>
  <c r="E1" i="65" l="1"/>
  <c r="E1" i="64"/>
  <c r="E1" i="63"/>
  <c r="D1" i="62"/>
  <c r="F1" i="61"/>
  <c r="D1" i="58"/>
  <c r="E1" i="59"/>
  <c r="E1" i="15"/>
  <c r="E26" i="15" l="1"/>
  <c r="F26" i="15" s="1"/>
  <c r="E29" i="15"/>
  <c r="F29" i="15" s="1"/>
  <c r="E109" i="59"/>
  <c r="C8" i="65"/>
  <c r="C9" i="65" l="1"/>
  <c r="E75" i="15" l="1"/>
  <c r="G6" i="65" s="1"/>
  <c r="H5" i="61"/>
  <c r="H6" i="61"/>
  <c r="H7" i="61"/>
  <c r="H8" i="61"/>
  <c r="H9" i="61"/>
  <c r="H4" i="61"/>
  <c r="H10" i="61" l="1"/>
  <c r="C5" i="65" s="1"/>
  <c r="C6" i="65"/>
  <c r="C11" i="65" s="1"/>
  <c r="H35" i="53"/>
  <c r="H32" i="53"/>
  <c r="H31" i="53"/>
  <c r="H30" i="53"/>
  <c r="H29" i="53"/>
  <c r="H20" i="53"/>
  <c r="H15" i="53"/>
  <c r="H14" i="53"/>
  <c r="H13" i="53"/>
  <c r="H41" i="37"/>
  <c r="H56" i="37"/>
  <c r="H55" i="37"/>
  <c r="H54" i="37"/>
  <c r="H53" i="37"/>
  <c r="H52" i="37"/>
  <c r="H51" i="37"/>
  <c r="H50" i="37"/>
  <c r="H49" i="37"/>
  <c r="H48" i="37"/>
  <c r="H45" i="37"/>
  <c r="H44" i="37"/>
  <c r="H43" i="37"/>
  <c r="H42" i="37"/>
  <c r="H39" i="37"/>
  <c r="H38" i="37"/>
  <c r="H37" i="37"/>
  <c r="H36" i="37"/>
  <c r="H35" i="37"/>
  <c r="H34" i="37"/>
  <c r="H33" i="37"/>
  <c r="H32" i="37"/>
  <c r="H31" i="37"/>
  <c r="H30" i="37"/>
  <c r="H29" i="37"/>
  <c r="H28" i="37"/>
  <c r="H27" i="37"/>
  <c r="H26" i="37"/>
  <c r="H25" i="37"/>
  <c r="H24" i="37"/>
  <c r="H23" i="37"/>
  <c r="H22" i="37"/>
  <c r="H21" i="37"/>
  <c r="H20" i="37"/>
  <c r="H19" i="37"/>
  <c r="H15" i="37"/>
  <c r="H14" i="37"/>
  <c r="H13" i="37"/>
  <c r="H12" i="37"/>
  <c r="H10" i="37"/>
  <c r="H8" i="37"/>
  <c r="H7" i="37"/>
  <c r="H6" i="37"/>
  <c r="H5" i="37"/>
  <c r="H4"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tc={8D5FFDCF-F9C8-451A-A3A9-F2860DA29914}</author>
  </authors>
  <commentList>
    <comment ref="N71" authorId="0" shapeId="0" xr:uid="{8D5FFDCF-F9C8-451A-A3A9-F2860DA29914}">
      <text>
        <t xml:space="preserve">[Trådad kommentar]
I din version av Excel kan du läsa den här trådade kommentaren, men eventuella ändringar i den tas bort om filen öppnas i en senare version av Excel. Läs mer: https://go.microsoft.com/fwlink/?linkid=870924
[Uppgifter]
En uppgift har fästs på den här kommentaren, som inte kan visas på din klient.
Kommentar:
    @Prasolova, Julia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tc={D64BC974-1945-4CBD-9CC5-BE2F9E2A132F}</author>
  </authors>
  <commentList>
    <comment ref="G49" authorId="0" shapeId="0" xr:uid="{D64BC974-1945-4CBD-9CC5-BE2F9E2A132F}">
      <text>
        <t xml:space="preserve">[Trådad kommentar]
I din version av Excel kan du läsa den här trådade kommentaren, men eventuella ändringar i den tas bort om filen öppnas i en senare version av Excel. Läs mer: https://go.microsoft.com/fwlink/?linkid=870924
[Uppgifter]
En uppgift har fästs på den här kommentaren, som inte kan visas på din klient.
Kommentar:
    @Prasolova, Julia </t>
      </text>
    </comment>
  </commentList>
</comments>
</file>

<file path=xl/sharedStrings.xml><?xml version="1.0" encoding="utf-8"?>
<sst xmlns="http://schemas.openxmlformats.org/spreadsheetml/2006/main" count="1845" uniqueCount="1239">
  <si>
    <t>Ekonomisystem, UPP-2025/047</t>
  </si>
  <si>
    <t>Anbudsgivare:</t>
  </si>
  <si>
    <t>Krav</t>
  </si>
  <si>
    <t>Uppfyllande av krav ska kunna verifieras på begäran. Kraven (samtliga ska-krav och de uppfyllda bör-kraven) ska vara uppfyllda vid anbudsinlämningstillfället, om inte annat uttryckligen framgår enligt kravformuleringen</t>
  </si>
  <si>
    <t xml:space="preserve">Ska-krav </t>
  </si>
  <si>
    <t>Samtliga obligatoriska krav (ska-krav) i upphandlingen ska uppfyllas för att anbudet ska vara kvalificerat. I och med inlämnade av anbud accepterar anbudsgivaren samtliga ställda ska-krav i upphandlingsdokumenten. Uppfyllande ska kunna verifieras på begäran. Samtliga krav som i kolumn C markerade som "Ska-krav" utgör ska-krav.</t>
  </si>
  <si>
    <t>Bör-krav</t>
  </si>
  <si>
    <t>Leverantören fyller i om de anser att de uppfyller bör-kravet eller inte.</t>
  </si>
  <si>
    <t>Avdrag för uppfyllda bör-krav visas om anbudsgivaren väljer "ja" vid respektive bör-krav.</t>
  </si>
  <si>
    <t>De bör-krav som anges vara uppfyllda ingår i anbudet och utgör således, tillsammans med ska-kraven, en del av avtalsinnehållet/åtagande enligt avtalet.
Samtliga krav som i kolumn C markerade som "Bör-krav" utgör bör-krav.</t>
  </si>
  <si>
    <t>Optioner</t>
  </si>
  <si>
    <t>Optioner utgör ska-krav för anbudsgivaren.</t>
  </si>
  <si>
    <t>Beställaren har rätt, dock är inte är förpliktad, att använda optionen under valfri period under avtalstiden</t>
  </si>
  <si>
    <t>GENERELLT</t>
  </si>
  <si>
    <t>Typ av krav</t>
  </si>
  <si>
    <t>Uppfylls bör-kravet?</t>
  </si>
  <si>
    <t>Bör-kravet vikt/poäng</t>
  </si>
  <si>
    <t>Avdrag för uppfyllda bör-krav</t>
  </si>
  <si>
    <t>ja</t>
  </si>
  <si>
    <t>nej</t>
  </si>
  <si>
    <t>Nr</t>
  </si>
  <si>
    <t>Område/funktion</t>
  </si>
  <si>
    <t>1.1</t>
  </si>
  <si>
    <t>Allmänt</t>
  </si>
  <si>
    <t>1.1.1</t>
  </si>
  <si>
    <t>Leverantören ska tillhandahålla en komplett leverans av ekonomisystem som tjänst (SaaS), inklusive licenser, drift, service och support (IT-tjänsten), vidareutveckling samt tillkommande konsulttjänster. </t>
  </si>
  <si>
    <t>ändringen finns i loggen//JP</t>
  </si>
  <si>
    <t>Ska-krav</t>
  </si>
  <si>
    <t>1.1.2</t>
  </si>
  <si>
    <t>Leverantören ska ha ett helhetsansvar för hela IT-tjänsten inkl. eventuella tredjepartsprodukter. </t>
  </si>
  <si>
    <t>1.1.3</t>
  </si>
  <si>
    <t>Det ska finnas en pedagogisk kunskapsdatabas och/eller handbok som innehåller relevant hjälp för användare, inklusive systemadministratörer.</t>
  </si>
  <si>
    <t>1.1.4</t>
  </si>
  <si>
    <t xml:space="preserve">Svenska ska vara det språk som används vid funktionsutförande i IT-tjänsten i bl.a. menyer, hjälpfunktioner, lathundar m.m. 
Teknisk dokumentation ska vara på svenska eller engelska. </t>
  </si>
  <si>
    <t>1.1.5</t>
  </si>
  <si>
    <t xml:space="preserve">IT-tjänsten ska innehålla hjälptexter och/eller instuktioner. Dessa ska beskriva hur man kan lösa uppgiften. </t>
  </si>
  <si>
    <t>1.1.6</t>
  </si>
  <si>
    <t>Beställaren ska ha exklusiv äganderätt till all data/information som Beställaren skapat i IT-tjänsten.</t>
  </si>
  <si>
    <t>1.1.7</t>
  </si>
  <si>
    <t>Leverantören ska garantera att Beställarens data aldrig används utan Beställarens tillstånd till något annat än leverans av avtalad tjänst.</t>
  </si>
  <si>
    <t>1.1.8</t>
  </si>
  <si>
    <t>Standarfunktionaliteten i IT-tjänsten ska överensstämma med tryckfrihetsförordningen (TF), förvaltningslagen, offentlighets- och sekretesslagen, arkivlagen samt GDPR. Leverantören ska utan dröjsmål anpassa IT-tjänsten när sådana lagar ändras.</t>
  </si>
  <si>
    <t>1.1.9</t>
  </si>
  <si>
    <t>IT-tjänsten ska ha en generell funktion för sammanställning av en persons samlade uppgifter i databasen så att redovisning enligt GDPR kan tillgodoses. Funktionen ska vara strikt behörighetsstyrd till ett fåtal personer.</t>
  </si>
  <si>
    <t>1.1.10</t>
  </si>
  <si>
    <t>IT-tjänsten ska ha funktion för att anonymisera personuppgifter.</t>
  </si>
  <si>
    <t>1.1.11</t>
  </si>
  <si>
    <t>IT-tjänsten ska uppfylla lokala legala regelverk och redovisningsmässiga sedvänjor i Sverige. Så som LKBR, RKR, KL</t>
  </si>
  <si>
    <t>1.1.12</t>
  </si>
  <si>
    <t>Leverantören ska  kontinuerligt utveckla IT-tjänsten för att tillgodose de krav som lagar och myndigheter ställer på kommunal redovisning i Sverige/EU.</t>
  </si>
  <si>
    <t>1.1.13</t>
  </si>
  <si>
    <t>Leverantören ska erbjuda uppdateringar för att uppfylla lagkrav på kommunal redovisning  i god tid (minst en (1) månad förutsatt att lagstiftningsprocessen möjliggör detta) innan lag träder i kraft.</t>
  </si>
  <si>
    <t>1.1.14</t>
  </si>
  <si>
    <t>IT-tjänsten ska ha funktion för automatisk momsberäkning.</t>
  </si>
  <si>
    <t>1.1.15</t>
  </si>
  <si>
    <t>IT-tjänsten ska ha funktion för att reversera fakturor och verifikationsposter</t>
  </si>
  <si>
    <t>1.1.16</t>
  </si>
  <si>
    <t>IT-tjänsten ska ha funktion för att koppla bilagor till verifikation.</t>
  </si>
  <si>
    <t>1.1.18</t>
  </si>
  <si>
    <t>IT-tjänsten ska ha en workflow-motor som möjliggör godkännande av processteg i processer/delprocesser i IT-tjänsten.</t>
  </si>
  <si>
    <t>1.1.19</t>
  </si>
  <si>
    <t>IT-tjänsten ska ha funktion för att uppdatera transaktioner ifrån försystemen och moduler/processer inom IT-tjänsten i nära realtid utan behov av manuell uppdatering. Exempelvis att en upplagd anläggningstillgång syns i huvudboken strax efter att den har lagts upp i anläggningsmodulen/registret.</t>
  </si>
  <si>
    <t>1.1.20</t>
  </si>
  <si>
    <t xml:space="preserve">IT-tjänsten ska ha funktion för att hantera ut- och inbetalningar, både inrikes och utrikes, enligt kända standarder (minst ISO 20022). </t>
  </si>
  <si>
    <t>1.1.21</t>
  </si>
  <si>
    <t>IT-tjänsten ska ha funktion för att hantera återbetalningar, både inrikes och utrikes, enligt kända standarder (minst ISO 20022).</t>
  </si>
  <si>
    <t>1.1.22</t>
  </si>
  <si>
    <t>IT-tjänsten bör ha funktion för att automatiskt ersätta en stängd konteringsdimension som initierats i IT-tjänsten eller importerats från ett av Beställarens försystem.</t>
  </si>
  <si>
    <t>1.1.23</t>
  </si>
  <si>
    <t>I IT-tjänsten ska det vara möjligt att bifoga dokument kopplade till verifikationer i samtliga processer/moduler</t>
  </si>
  <si>
    <t>1.1.24</t>
  </si>
  <si>
    <t>IT-tjänsten ska ha funktion för att bokföra automatiskt inlästa filer i den period som framgår i filen</t>
  </si>
  <si>
    <t>1.1.25</t>
  </si>
  <si>
    <t>IT- Tjänsten bör ha funktionalitet att per automatik hämta uppmärkta verifikationsunderlag från uppsatt importkatalog och koppla dem till respektive verifikation.</t>
  </si>
  <si>
    <r>
      <t xml:space="preserve">
</t>
    </r>
    <r>
      <rPr>
        <sz val="10"/>
        <color theme="1"/>
        <rFont val="Calibri"/>
        <family val="2"/>
        <scheme val="minor"/>
      </rPr>
      <t>Bör-krav</t>
    </r>
  </si>
  <si>
    <t>Nej</t>
  </si>
  <si>
    <t>Ja, uppdatering sker minst årligen av leverantören</t>
  </si>
  <si>
    <t>1.1.26</t>
  </si>
  <si>
    <t>IT-Tjänsten ska ha funktionen för att manuellt skapa nya postnummer, både inrikes och utrikes.</t>
  </si>
  <si>
    <t>Ja, uppdatering sker minst månadsvis av leverantören</t>
  </si>
  <si>
    <t>1.1.27</t>
  </si>
  <si>
    <t>IT-Tjänsten bör tillhandahålla ett av leverantören regelbundet uppdaterat postnummerregister (Svenska)</t>
  </si>
  <si>
    <t>Bör krav</t>
  </si>
  <si>
    <t>1.2</t>
  </si>
  <si>
    <t>Valideringar och systemkontroll</t>
  </si>
  <si>
    <t>1.2.1</t>
  </si>
  <si>
    <t>Enskilda moduler/processer (såsom kundreskontra, leverantörsreskontra) i IT-Tjänsten ska kunna stängas vid olika tidpunkter vid periodbryt.</t>
  </si>
  <si>
    <t>1.2.2</t>
  </si>
  <si>
    <t>IT-tjänsten ska ha funktion så att Beställaren kan påverka vissa fält, om de ska vara obligatoriska eller ej,  samt vilka giltiga värden som kan användas.</t>
  </si>
  <si>
    <t>1.2.3</t>
  </si>
  <si>
    <t xml:space="preserve">IT-tjänsten ska ha funktion för att logga transaktioner och ändring av registerinformation (ex. kunduppgifter, leverantörsuppgifter etc.) med användar-id och tidsstämpel, tidigare värde och ändrat till värde. </t>
  </si>
  <si>
    <t>1.2.4</t>
  </si>
  <si>
    <t>Uppdatering av IT-tjänsten ska ske i nära realtid och inga journaler behöver köras för att se transaktioner/data/resultat i IT-tjänsten.</t>
  </si>
  <si>
    <t>1.2.5</t>
  </si>
  <si>
    <t>IT-tjänsten bör ha stöd för avisering av inaktiva användare. Exempelvis om användaren inte varit inloggad på ett år.</t>
  </si>
  <si>
    <t>1.2.6</t>
  </si>
  <si>
    <t>Alla moduler/processer (såsom kundreskontra, leverantörsreskontra) ska dela på gemensamma grundregister (master data) för kund, leverantör och kontoplan.</t>
  </si>
  <si>
    <t>1.2.7</t>
  </si>
  <si>
    <t>IT-tjänsten bör ha stöd för avisering av inaktiva värden. Exempelvis en aktivitetskod som ej använts på ett år.</t>
  </si>
  <si>
    <t>1.2.8</t>
  </si>
  <si>
    <t xml:space="preserve">IT-Tjänsten bör ha funktion så att vissa roller kan schemalägga periodstängningar </t>
  </si>
  <si>
    <t>1.3</t>
  </si>
  <si>
    <t>Valutahantering</t>
  </si>
  <si>
    <t>1.3.1</t>
  </si>
  <si>
    <t>IT-tjänsten ska kunna hantera svensk valuta.</t>
  </si>
  <si>
    <t>1.3.2</t>
  </si>
  <si>
    <t>IT-tjänsten ska ha funktion för att hantera valfritt antal valutor, samt kunna omvärdera balansposter vid valda tillfällen.</t>
  </si>
  <si>
    <t>1.3.3</t>
  </si>
  <si>
    <t>IT-tjänsten ska ha funktion för minst två valutor på varje transaktion.</t>
  </si>
  <si>
    <t>1.4</t>
  </si>
  <si>
    <t>Rapporter</t>
  </si>
  <si>
    <t>1.4.1</t>
  </si>
  <si>
    <t xml:space="preserve">IT-tjänsten ska ha funktion för att bygga och presentera både generella och användarspecifika rapporter i samtliga moduler/processer. </t>
  </si>
  <si>
    <t>1.4.2</t>
  </si>
  <si>
    <t>IT-tjänsten ska har funktion för att ställa frågor nära realtid i alla moduler/processer (såsom kundreskontra, leverantörsreskontra).</t>
  </si>
  <si>
    <t>1.4.3</t>
  </si>
  <si>
    <t>IT-tjänsten ska ha funktion för att göra dynamiska sökningar på relevanta fält i IT-tjänsten.</t>
  </si>
  <si>
    <t>1.4.4</t>
  </si>
  <si>
    <t>IT-tjänsten ska ha en blankettgenerator som kan användas för att skapa layouter för systemgenererade dokument (t.ex. kundfaktura, prislistor och inköpsordrar i enlighet med kundens grafiska layout och profil).</t>
  </si>
  <si>
    <t>1.4.5</t>
  </si>
  <si>
    <t xml:space="preserve">IT-tjänsten ska ha funktion för drill-down och drill-around mellan olika delar i IT-tjänsten. </t>
  </si>
  <si>
    <t>1.4.6</t>
  </si>
  <si>
    <t>1.4.7</t>
  </si>
  <si>
    <t>Det ska finnas möjlighet att ta ut rapport på valfria verfikationer med tillhörande bilagor</t>
  </si>
  <si>
    <t>1.4.8</t>
  </si>
  <si>
    <t>IT-tjänsten ska ha en flexibel och intuitiv rapportfunktion.</t>
  </si>
  <si>
    <t>1.4.9</t>
  </si>
  <si>
    <t>IT-tjänsten ska ha funktion för att anpassa vyer till roller.</t>
  </si>
  <si>
    <t>1.4.10</t>
  </si>
  <si>
    <t>Det ska finns möjlighet att styra vilka rapporter respektive roll har tillgång till.</t>
  </si>
  <si>
    <t>1.4.11</t>
  </si>
  <si>
    <t xml:space="preserve">IT-tjänsten ska ha funktion att visa information kring användarna och hur de använder IT-tjänsten. </t>
  </si>
  <si>
    <t>1.4.12</t>
  </si>
  <si>
    <t xml:space="preserve">IT-tjänsten ska ha funktion för att skapa varningar som visas/levereras till valda roller. Exempelvis en varning till systemadministratör om att en fil, som har lästs in automatiskt, innehåller fel.  </t>
  </si>
  <si>
    <t>1.5</t>
  </si>
  <si>
    <t>Säkerhet</t>
  </si>
  <si>
    <t> </t>
  </si>
  <si>
    <t>1.5.1</t>
  </si>
  <si>
    <r>
      <rPr>
        <sz val="10"/>
        <color theme="1"/>
        <rFont val="Calibri"/>
        <family val="2"/>
      </rPr>
      <t xml:space="preserve">Leverantören ska uppfylla krav gällande säkerhet i enlighet med vad som anges i Bilaga 3 – </t>
    </r>
    <r>
      <rPr>
        <i/>
        <sz val="10"/>
        <color theme="1"/>
        <rFont val="Calibri"/>
        <family val="2"/>
      </rPr>
      <t>Säkerhet</t>
    </r>
  </si>
  <si>
    <t>1.5.2</t>
  </si>
  <si>
    <t xml:space="preserve">Leverantörens redovisning över uppfyllnad av krav i Bilaga Säkerhet, punkt 5, ”Ställe för avtalets fullgörande” enligt Leverantörens anbud, tillsammans med Personuppgiftsbiträdesavtal inklusive p.7 i Bilaga Instruktion, ska reglera hur personuppgifter hanteras i IT-tjänsten samt var lagring av personuppgifter sker (land/företag etc), vilka eventuella underbiträden och i vilket sammanhang hanterar Beställarens personuppgifter, samt var och hur dessa lagrar personuppgifter. 
Leverantörens redovisning enligt ovan ingår i Leverantörens åtagande
</t>
  </si>
  <si>
    <t>1.6</t>
  </si>
  <si>
    <t>Koncernregister</t>
  </si>
  <si>
    <t>1.6.1</t>
  </si>
  <si>
    <t>IT-tjänsten ska ha funktion för flera juridiska enheter. Flerföretagsinstallation.</t>
  </si>
  <si>
    <t>1.6.2</t>
  </si>
  <si>
    <t>IT-tjänsten ska ha funktion för administration av koncerngemensamma register för kunder, leverantörer och produkter - men med möjlighet att kunna särskilja bolagsspecifika detaljer såsom leveransvillkor, avtalsvillkor, prislistor, kontaktpersoner och adresser.</t>
  </si>
  <si>
    <t>1.6.3</t>
  </si>
  <si>
    <t>IT-tjänsten ska ha funktion för internhandel (inter-company)  mellan olika juridiska enheter i samma installation.</t>
  </si>
  <si>
    <t>1.7</t>
  </si>
  <si>
    <t>Avsluta användandet av IT-tjänsten</t>
  </si>
  <si>
    <t>1.7.1</t>
  </si>
  <si>
    <t>All Beställaren skapad data som finns i IT-tjänsten ska exporteras till Huddinge kommun vid avslut av användandet av IT-tjänsten, oavsett vad anledningen till avslut är utan extra kostnad. Datan ska tillhandahållas inom två (2) månader</t>
  </si>
  <si>
    <t>1.7.2</t>
  </si>
  <si>
    <t>Dataexporten ska vara i ett format som möjliggör återanvändning av informationen. </t>
  </si>
  <si>
    <t>1.7.3</t>
  </si>
  <si>
    <t>Vid avslut av användandet av IT-tjänsten, oavsett vad anledningen till avslut är, ska Beställaren få tillgång till data så att Beställaren kan uppfylla gällande redovisningslagstiftning. Exempelvis genom export/migrering av relevant data i standardiserad format som är kompatibel till på marknaden vedertagna databaser och/eller leverantörsreskontrasystem, genom tillhandahållande av ett verktyg/begränsad behörighet som möjliggör återsökning under hela arkiveringstiden, eller på annat  för Beställaren tillgängligt strukrurerat och sökbart sätt.</t>
  </si>
  <si>
    <t>1.7.4</t>
  </si>
  <si>
    <t>Leverantören ska varken äga rätt att disponera, avslöja, informera om, vidareförmedla eller på annat sätt nyttja det data som finns i IT-tjänsten efter avslut av IT-tjänsten.  </t>
  </si>
  <si>
    <t>1.8</t>
  </si>
  <si>
    <t>Användbarhet</t>
  </si>
  <si>
    <t>Ja, men endast leverantören kan anpassa</t>
  </si>
  <si>
    <t>1.8.1</t>
  </si>
  <si>
    <t>IT- Tjänsten bör kunna anpassas efter användarens behov. Exempelvis personligt anpassade arbetsytor</t>
  </si>
  <si>
    <t>Ja, men endast vissa roller kan göra detta</t>
  </si>
  <si>
    <t>Ja, endast leverantören = 1p Ja, endast vissa roller = 2p. Ja, alla användare = 4p</t>
  </si>
  <si>
    <t>1.9</t>
  </si>
  <si>
    <t>Personuppgifter</t>
  </si>
  <si>
    <t>1.9.1</t>
  </si>
  <si>
    <t>Personuppgifter ska behandlas enligt Bilaga 2 Personuppgiftsbiträdesavtal</t>
  </si>
  <si>
    <t>Summa Börkravspoäng:</t>
  </si>
  <si>
    <t>Redovisning</t>
  </si>
  <si>
    <t>2.1</t>
  </si>
  <si>
    <t>2.1.1</t>
  </si>
  <si>
    <t>IT-tjänsten ska ha funktion för att arbeta med flera bokföringsår öppna samtidigt.</t>
  </si>
  <si>
    <t>2.1.2</t>
  </si>
  <si>
    <t>IT-tjänsten ska ha funktion för att hantera flera olika verifikationsserier eller verifikationstyp parallellt (bl. a. för att särskilja olika försystem/moduler och transaktionstyper).</t>
  </si>
  <si>
    <t>2.1.3</t>
  </si>
  <si>
    <t>IT-tjänsten ska ha inbyggda datumkontroller mot registrering i stängda perioder.</t>
  </si>
  <si>
    <t>2.1.4</t>
  </si>
  <si>
    <t>IT-tjänsten ska ha funktion för automatisk överföring av ingående och utgående balanser.</t>
  </si>
  <si>
    <t>2.1.5</t>
  </si>
  <si>
    <t>I IT-tjänsten ska det gå att ha olika kontoplaner per juridisk enhet med unika summerade kontoklasser.</t>
  </si>
  <si>
    <t>2.1.6</t>
  </si>
  <si>
    <t>IT-tjänsten ska ha funktion för att låsa konto för automatisk bokföring. Exempelvis låsa leverantörs skulder eller hyresfordran.</t>
  </si>
  <si>
    <t>2.1.7</t>
  </si>
  <si>
    <t>IT-tjänsten ska ha funktion för kontoavstämning</t>
  </si>
  <si>
    <t>2.2</t>
  </si>
  <si>
    <t>Registrering</t>
  </si>
  <si>
    <t>2.2.1</t>
  </si>
  <si>
    <t>IT-tjänsten ska ha funktion för att automatiskt vända interimsbokningar i efterföljande period.</t>
  </si>
  <si>
    <t>2.2.2</t>
  </si>
  <si>
    <t>IT-tjänsten ska ha funktion för att periodisera kostnader/intäkter med automatisk avräkning mot interimsskuld/interimsfordring.</t>
  </si>
  <si>
    <t>2.2.3</t>
  </si>
  <si>
    <t>IT-tjänsten ska ha funktion för att lägga upp olika periodiseringsnycklar.</t>
  </si>
  <si>
    <t>2.2.4</t>
  </si>
  <si>
    <t>IT-tjänsten ska ha funktioner för automatfördelning (påslag/fördelningar) av konteringar. Exempelvis påslag på löneskatt för pensioner/fördelning av OH-kostnader.</t>
  </si>
  <si>
    <t>2.2.5</t>
  </si>
  <si>
    <t>IT-tjänsten ska ha funktion för att styra automatkontering på valfri kombination av konteringsdelar.</t>
  </si>
  <si>
    <t>2.2.6</t>
  </si>
  <si>
    <t xml:space="preserve">IT-tjänsten ska ha funktion för att kunna göra automatfördelningar/påslag både triggade på specifika koddelskombinationer per verifikation men även fördela summan av ett antal verifikationer. </t>
  </si>
  <si>
    <t>2.2.7</t>
  </si>
  <si>
    <t>IT-tjänsten ska ha funktion för att registrera manuellt verifikat.</t>
  </si>
  <si>
    <t>IT-tjänsten ska ha funktion för manuell omkontering av valfria rader med full spårbarhet</t>
  </si>
  <si>
    <t>2.2.8</t>
  </si>
  <si>
    <t>IT-tjänsten ska ha funktion för att makulera registrerade verifikat med full spårbarhet.</t>
  </si>
  <si>
    <t>2.2.9</t>
  </si>
  <si>
    <t>IT-tjänsten ska ha funktion för att läsa in bokföringsorder från Excel</t>
  </si>
  <si>
    <t>2.3</t>
  </si>
  <si>
    <t>Kontoplan och konteringsregler</t>
  </si>
  <si>
    <t>2.3.1</t>
  </si>
  <si>
    <t xml:space="preserve">IT-tjänsten ska ha kontoplan (Kommun-BAS) med konto och ytterligare minst sju (7) redovisningsdimensioner. Dessa ska kunna anpassas och namnsättas efter Beställarens ekonomimodell. </t>
  </si>
  <si>
    <t>2.3.2</t>
  </si>
  <si>
    <t>IT-tjänsten ska ha funktion för nummerserie för kontoplan och redovisningsdimensioner som kan hantera minimum nio positioner, med alfanumeriskt stöd.</t>
  </si>
  <si>
    <t>2.3.3</t>
  </si>
  <si>
    <t>IT-tjänsten ska ha möjlighet att bokföra verifikat på värde och/eller volym.</t>
  </si>
  <si>
    <t>2.3.4</t>
  </si>
  <si>
    <t>2.3.5</t>
  </si>
  <si>
    <t xml:space="preserve">Beställaren ska kunna lägga upp, ändra och stänga samtliga konteringsdimensioner. </t>
  </si>
  <si>
    <t>2.4</t>
  </si>
  <si>
    <t>Inläsning av budget och prognos</t>
  </si>
  <si>
    <t>2.4.1</t>
  </si>
  <si>
    <t>IT-tjänsten ska ha funktionalitet för att registrera in årsbudget per månad.</t>
  </si>
  <si>
    <t>2.4.2</t>
  </si>
  <si>
    <t>I IT-tjänsten ska det finns funktion att läsa in flera versioner av budget och prognos</t>
  </si>
  <si>
    <t>2.4.3</t>
  </si>
  <si>
    <t>IT-tjänsten ska ha funktionalitet för att registrera in prognoser på månadsbasis (separat från budget).</t>
  </si>
  <si>
    <t>2.4.4</t>
  </si>
  <si>
    <t>IT-tjänsten ska ha funktion för att registrera budgeten på valfritt antal koddelar.</t>
  </si>
  <si>
    <t>2.4.5</t>
  </si>
  <si>
    <t>IT-tjänsten ska ha funktion för att registrera in budget och prognos från Excel.</t>
  </si>
  <si>
    <t>2.4.6</t>
  </si>
  <si>
    <t>IT-tjänsten ska ha funktion för att skapa en budget distribuerat hos kostnadsställeansvariga och konsolidera denna till en totalbudget för organisationen.</t>
  </si>
  <si>
    <t>2.4.7</t>
  </si>
  <si>
    <t>IT-tjänsten ska ha funktion för att stödja arbetet med likviditetsprognoser.</t>
  </si>
  <si>
    <t>2.5</t>
  </si>
  <si>
    <t>2.5.1</t>
  </si>
  <si>
    <t>IT-tjänsten ska ha funktion för likviditetsplanering (sammanställning av kassapåverkande transaktioner i framtiden).</t>
  </si>
  <si>
    <t>2.5.2</t>
  </si>
  <si>
    <t>IT-tjänsten ska ha funktion för att sammanställa momsrapportering enligt skattemyndighetens krav.</t>
  </si>
  <si>
    <t>2.5.3</t>
  </si>
  <si>
    <t>IT-tjänsten ska ha funktion för att söka ut information på samtliga koddelar, enskilt eller kombinerat med andra, i form av intervaller, listor, specifika koder etc.</t>
  </si>
  <si>
    <t>2.5.4</t>
  </si>
  <si>
    <t xml:space="preserve">IT-tjänsten ska ha funktion för att söka ut enskilda verifikationer eller summan av alla verifikationer för olika koddelar. 
</t>
  </si>
  <si>
    <t>2.5.5</t>
  </si>
  <si>
    <t>IT-tjänsten ska ha funktion för skapande av intrastatrapportering så som tex. SRU-koder och SCB-koder.</t>
  </si>
  <si>
    <t>2.5.6</t>
  </si>
  <si>
    <t>IT-tjänsten ska ha funktion för att beställa rapporter över både valfria perioder samt from-tom specifika datum.</t>
  </si>
  <si>
    <t>2.5.7</t>
  </si>
  <si>
    <t>IT-tjänsten ska ha funktion för att söka transaktioner på belopp, beloppsintervaller, periodintervaller och datumintervaller.</t>
  </si>
  <si>
    <t>2.5.8</t>
  </si>
  <si>
    <t>I rapportfunktionen ska det finnas möjlighet att dynamiskt styra vilka rad- och kolumnval som ingår i en redovisningsrapport.</t>
  </si>
  <si>
    <t>2.5.9</t>
  </si>
  <si>
    <t>IT-tjänsten ska ha funktion för att skapa rapporteringshierarkier för samtliga konteringsdimensioner.</t>
  </si>
  <si>
    <t>2.5.10</t>
  </si>
  <si>
    <t>IT-tjänsten ska ha funktion för att skapa beräknade kolumner i rapporteringen.</t>
  </si>
  <si>
    <t>2.5.11</t>
  </si>
  <si>
    <t>IT-tjänsten ska ha funktion för att se en sammanställning över periodiseringar på balanskonton.</t>
  </si>
  <si>
    <t>2.5.12</t>
  </si>
  <si>
    <t>IT-tjänsten ska ha funktion för att presentera rapport med olika värdetyper så som utfall, prognos, budget, projektutfall</t>
  </si>
  <si>
    <t>2.5.13</t>
  </si>
  <si>
    <t xml:space="preserve">IT-tjänsten ska ha funktion för indexering/ arkivering av balansposter som är avstämda. Klarmarkerade transaktionsrader ska inte presenteras i vyn för avstämning. </t>
  </si>
  <si>
    <t xml:space="preserve">Leverantören ska kontinuerligt tillhandahålla uppdaterad RS-mall enligt SCBs krav. Inläsning ska kunna ske från IT-tjänst till mall. </t>
  </si>
  <si>
    <t>Kundreskontra</t>
  </si>
  <si>
    <t>3.1</t>
  </si>
  <si>
    <t>3.1.1</t>
  </si>
  <si>
    <t xml:space="preserve">IT-tjänsten ska ha funktion för manuell registrering av fakturor </t>
  </si>
  <si>
    <t>Ska krav</t>
  </si>
  <si>
    <t>3.1.2</t>
  </si>
  <si>
    <t>IT-tjänsten ska ha funktion för att i reskontran kunna skilja på koncerninterna och olika typer av externa kunder med separata kundfordringskonton.</t>
  </si>
  <si>
    <t>3.1.3</t>
  </si>
  <si>
    <t xml:space="preserve"> IT-tjänsten ska ha funktion för differentierad kravhantering för olika typer av kunder.</t>
  </si>
  <si>
    <t>3.1.4</t>
  </si>
  <si>
    <t>IT-tjänsten ska ha funktion att i reskontran kunna se vilken försäljningsorder fakturan avser.</t>
  </si>
  <si>
    <t>3.1.5</t>
  </si>
  <si>
    <t>IT-tjänsten ska ha stöd för olika typer av elektroniskt fakturaformat (Peppol, svefaktura)</t>
  </si>
  <si>
    <t>3.1.6</t>
  </si>
  <si>
    <t>IT-tjänsten ska ha funktion för att ta ut fakturakopia i PDF format där det tydligt framgår att det är en fakturakopia.</t>
  </si>
  <si>
    <t>3.1.7</t>
  </si>
  <si>
    <t>IT-tjänsten ska ha funktion att kopiera befintlig order till ny order</t>
  </si>
  <si>
    <t>3.1.8</t>
  </si>
  <si>
    <t>IT-tjänsten ska ha funktion att skapa kreditfaktura utifrån tidigare order som ligger i kundreskontra.</t>
  </si>
  <si>
    <t>3.1.9</t>
  </si>
  <si>
    <t xml:space="preserve">Det ska vara möjligt i IT-tjänsten att direkt vid skapandet av kreditfaktura kvitta denna mot ursprungsfakturan. </t>
  </si>
  <si>
    <t>3.1.10</t>
  </si>
  <si>
    <t xml:space="preserve">IT-tjänsten ska ha funktion för förhandsgranskning av faktura, faktura ska visas och spegla den kommande skarpa fakturan. </t>
  </si>
  <si>
    <t>3.1.11</t>
  </si>
  <si>
    <t>IT-tjänsten ska ha funktion  för att kreditfakturors förfallodatum sätts till fakturadagen</t>
  </si>
  <si>
    <t>3.1.12</t>
  </si>
  <si>
    <t xml:space="preserve">IT-tjänsten ska ha funktion för återkommande fakturering (kundabonnemang) med stöd för flera olika debiteringsperioder. </t>
  </si>
  <si>
    <t>3.1.13</t>
  </si>
  <si>
    <t>IT-tjänsten ska ha möjlighet att lägga in tillfälliga texter på fakturor till viss kategori av kund.</t>
  </si>
  <si>
    <t>3.1.14</t>
  </si>
  <si>
    <t>IT-tjänsten ska ha stöd för att kunna med automatik osäkerföra fordringar 90 dagar efter förfallodatum</t>
  </si>
  <si>
    <t xml:space="preserve">IT-Tjänsten ska per automatik vända uppbokningen av osäkerfodran utifrån inbetalningar som skett mot fordran. </t>
  </si>
  <si>
    <t>3.1.15</t>
  </si>
  <si>
    <t>IT-tjänsten ska logga ändringar i kunduppgifterna så att händelseförlopp går att följa.</t>
  </si>
  <si>
    <t>3.1.16</t>
  </si>
  <si>
    <t>IT-tjänsten ska ha funktion för "massfakturering" där ett och samma fakturaunderlag används för att skapa faktura till ett antal utvalda kunder.</t>
  </si>
  <si>
    <t>3.1.17</t>
  </si>
  <si>
    <t xml:space="preserve">IT-tjänsten bör ha funktion för att från Excel importera och skapa kundordrar/fakturor.
</t>
  </si>
  <si>
    <t>Ja</t>
  </si>
  <si>
    <t>3.1.18</t>
  </si>
  <si>
    <t>IT-tjänsten ska ha funktion för att bifoga dokument till kundorder och som skickas med till kund vid fakturering.</t>
  </si>
  <si>
    <t>3.1.19</t>
  </si>
  <si>
    <t>IT-tjänsten ska ha funktion för att bifoga dokument till kundorder/faktura och som inte skickas med till kund vid fakturering.</t>
  </si>
  <si>
    <t>3.1.20</t>
  </si>
  <si>
    <t xml:space="preserve">IT-tjänsten ska ha funktion för att kunna ändra förfallodatum på faktura. </t>
  </si>
  <si>
    <t>3.1.21</t>
  </si>
  <si>
    <t>I IT-tjänsten ska det vara möjligt att göra testkörning samt göra rättningar i underlaget innan skarp körning, exempelvis vid fakturering, abonnemangskörning etc.</t>
  </si>
  <si>
    <t>3.1.24</t>
  </si>
  <si>
    <t>IT-tjänsten ska ha funktion för att kunna del- eller helkreditera  fakturor och räntefakturor.</t>
  </si>
  <si>
    <t>3.1.25</t>
  </si>
  <si>
    <t>IT-tjänsten ska ha funktioner för att hantera hela autogiroflödet från medgivande till betalning</t>
  </si>
  <si>
    <t>3.1.26</t>
  </si>
  <si>
    <t xml:space="preserve">IT-tjänsten ska ha funktion för att varna för  registrering av dubbletter. </t>
  </si>
  <si>
    <t>3.1.27</t>
  </si>
  <si>
    <t>Sytemet ska ha funktion för att varna vid inmatning av ologiska organisations- eller personnummer</t>
  </si>
  <si>
    <t>3.1.28</t>
  </si>
  <si>
    <t xml:space="preserve">IT-tjänsten ska kunna hantera av Migratiosverket tilldelade TF och samordningsnummer. </t>
  </si>
  <si>
    <t>3.1.29</t>
  </si>
  <si>
    <t>IT-tjänsten ska ha funktion att läsa in fakturaunderlag från externa system. Funktionen ska kunna ske både automatiskt och manuellt</t>
  </si>
  <si>
    <t>3.1.30</t>
  </si>
  <si>
    <t>IT-tjänsten ska ha funktion för att markera kunder som har skyddad identitet.</t>
  </si>
  <si>
    <t>3.1.31</t>
  </si>
  <si>
    <t>Det ska gå att markera sekretessbelagda/-markerade kunduppgifter, direkt i IT-tjänsten.</t>
  </si>
  <si>
    <t>3.1.32</t>
  </si>
  <si>
    <t>Det ska gå att hämta sekretessbelagda/-markerade kunduppgifter från försystemen.</t>
  </si>
  <si>
    <t>3.1.33</t>
  </si>
  <si>
    <t>Systemadministratör ska kunna ställa in behörighet till åtkomst åt sekretessbelagda/-markerade kunder</t>
  </si>
  <si>
    <t>3.1.34</t>
  </si>
  <si>
    <t xml:space="preserve">IT-tjänsten ska ha stöd för hantera c/o adresser
</t>
  </si>
  <si>
    <t>3.1.36</t>
  </si>
  <si>
    <t>Det bör finnas fritextfält på kundorder/faktura</t>
  </si>
  <si>
    <t xml:space="preserve">Bör krav </t>
  </si>
  <si>
    <t>3.1.37</t>
  </si>
  <si>
    <t>Det bör vara möjligt att importera fritext till kundorder/faktura från försystem</t>
  </si>
  <si>
    <t>3.1.38</t>
  </si>
  <si>
    <t>IT-Tjänsten ska ha funktion för att skapa nya artiklar</t>
  </si>
  <si>
    <t>3.1.39</t>
  </si>
  <si>
    <t>IT-Tjänsten ska ha funktion för att skapa en konteringmall som kopplas mot en artikel</t>
  </si>
  <si>
    <t>3.1.40</t>
  </si>
  <si>
    <t xml:space="preserve">IT-Tjänsten ska ha funktion för avskrivningar av kundfordringar. </t>
  </si>
  <si>
    <t>3.1.41</t>
  </si>
  <si>
    <t>IT-Tjänsten ska ha funktion för att automatiskt skapa ett avskrivningsförslag utifrån överrenskomna kriterier. Avskrivning av kundfordringarna ska ske per automatik när förslaget har bekräftats</t>
  </si>
  <si>
    <t>3.1.42</t>
  </si>
  <si>
    <t>IT-Tjänsten ska ha funktion för att vid utvalda faktureringstillfällen ta bort möjligheten att skicka fakturorna för autogirodragning utan att de påverkar medgivandet som är registrerat på kunderna</t>
  </si>
  <si>
    <t>3.1.43</t>
  </si>
  <si>
    <t>IT-tjänsten bör ha funktion för att kunna klarmarkera kundfakturor som är på 0 Kr i slutet av månaden</t>
  </si>
  <si>
    <t xml:space="preserve">IT-tjänsten bör tillhandahålla matchande fakturalayouter mellan system och utskrift. (Avser ej Peppol och Svefaktura layouter)
</t>
  </si>
  <si>
    <t>ja, det går att anpassa delar av layouten = 1p ja, allt går att anpassa = 3p</t>
  </si>
  <si>
    <t>3.2</t>
  </si>
  <si>
    <t>Kundregister</t>
  </si>
  <si>
    <t>3.2.1</t>
  </si>
  <si>
    <t>IT-tjänsten ska ha funktion för att läsa in och uppdatera  kunduppgifter från externa system. Regler för matchning ska kunna göras på multipla fält.</t>
  </si>
  <si>
    <t>3.2.2</t>
  </si>
  <si>
    <t>IT-tjänsten ska ha funktion för att lägga upp nya kunder och uppdatera befintliga kunder manuellt.</t>
  </si>
  <si>
    <t>3.2.3</t>
  </si>
  <si>
    <t>IT-tjänsten ska ha funktion för att registrera koncernkod på kund (koncern/dotterföretag).</t>
  </si>
  <si>
    <t>3.2.4</t>
  </si>
  <si>
    <t>IT-tjänsten ska ha funktion för att registrera motpartskod på kund. Motpartskoden ska automatiskt läggas till på huvudbokstransaktionen.</t>
  </si>
  <si>
    <t>3.2.5</t>
  </si>
  <si>
    <t xml:space="preserve">IT-tjänsten ska ha meddelandestöd kopplat till begränsningar av textfält. Dvs begränsningar i antal tecken kopplat till fakturalayouten ska meddelas. </t>
  </si>
  <si>
    <t>3.2.6</t>
  </si>
  <si>
    <t>IT-tjänsten ska har funktion för att registrera telefonnummer och e-postadress</t>
  </si>
  <si>
    <t>3.2.7</t>
  </si>
  <si>
    <t>IT-tjänsten ska ha funktion för att koppla dokument till kunden.</t>
  </si>
  <si>
    <t>3.2.8</t>
  </si>
  <si>
    <t>IT-tjänsten ska ha funktion för att ange tvingande fält, t ex att orgnr/VATnr ska vara ifyllt</t>
  </si>
  <si>
    <t>3.2.9</t>
  </si>
  <si>
    <t>IT-tjänsten ska ha funktion för att momsregistreringsnumret ska skrivas  på faktura till kund.</t>
  </si>
  <si>
    <t>3.2.10</t>
  </si>
  <si>
    <t>IT-tjänsten ska vara flexibelt kring fakturalayouten vid upprättande av fakturaunderlag. ex.vis hantering av längre texter och radbryt.</t>
  </si>
  <si>
    <t>3.2.11</t>
  </si>
  <si>
    <t>IT-tjänsten ska ha funktion för att kunna lägga fasta texter på fakturalayouten kopplat till fakturatyp</t>
  </si>
  <si>
    <t>3.2.12</t>
  </si>
  <si>
    <t>IT-tjänsten ska ha funktion för olika fakturalayouter beroende på distributionssätt/betalmetod, exempelvis autogiro etc.</t>
  </si>
  <si>
    <t>3.2.13</t>
  </si>
  <si>
    <t>IT-tjänsten ska ha funktion för att registrera på kund vilken typ av leveransform de önskar motta sin faktura på.</t>
  </si>
  <si>
    <t>3.2.14</t>
  </si>
  <si>
    <t>IT-tjänsten ska ha funktion för att koppla kundspecifika villkor mot viss leveransadress eller artikeltyp, t.ex. rabatter, leverans-, betalningsvillkor.</t>
  </si>
  <si>
    <t>3.2.15</t>
  </si>
  <si>
    <t>IT-tjänsten ska ha funktion för att gruppera kunder för att sätta särskilda villkor.</t>
  </si>
  <si>
    <t>3.2.16</t>
  </si>
  <si>
    <t>IT-tjänsten ska ha funktion för att skapa och lagra mallar för uppläggning av olika slags kunder.</t>
  </si>
  <si>
    <t>3.2.17</t>
  </si>
  <si>
    <t>IT-tjänsten ska ha funtion för att läsa in och uppdatera kunduppgifter från externa system. Regler för matchning ska kunna göras på multipla fält.</t>
  </si>
  <si>
    <t>3.2.18</t>
  </si>
  <si>
    <t>IT-tjänsten ska ha funktion för att hantera utländska adresser t.ex. avvikande postnummer eller struktur.</t>
  </si>
  <si>
    <t>3.2.19</t>
  </si>
  <si>
    <t xml:space="preserve">IT-tjänsten ska ha funktion för att med inläsning kunna uppdatera anmälningar och avanmälningar för efaktura till internetbank. </t>
  </si>
  <si>
    <t>3.2.20</t>
  </si>
  <si>
    <t>IT-tjänsten ska ha funktion att registrera efaktura till internetbank där betalaren är annan än kunden.</t>
  </si>
  <si>
    <t>3.3</t>
  </si>
  <si>
    <t>Inbetalningar och Krav</t>
  </si>
  <si>
    <t>3.3.1</t>
  </si>
  <si>
    <t>IT-tjänsten ska ha funktion för att hantera elektroniska inbetalningar via bankgiro.</t>
  </si>
  <si>
    <t>3.3.2</t>
  </si>
  <si>
    <t>IT-tjänsten ska ha funktion för att hantera elektroniska inbetalningar enligt SEPA-format.</t>
  </si>
  <si>
    <t>3.3.3</t>
  </si>
  <si>
    <t>IT-tjänsten ska ha funktion för att hantera elektroniska inbetalningar enligt XML-ISO20022.</t>
  </si>
  <si>
    <t>3.3.4</t>
  </si>
  <si>
    <t>IT-tjänsten ska ha stöd för automatisk matchning mot OCR inbetalning oavsett hel- eller delbetalning</t>
  </si>
  <si>
    <t>3.3.5</t>
  </si>
  <si>
    <t>IT-tjänsten ska ha stöd för att matcha inbetalning mot vald konteringssträng utifrån avsändare och meddelande på inbetalningsavi.</t>
  </si>
  <si>
    <t>3.3.6</t>
  </si>
  <si>
    <t>IT-tjänsten har funktion för att registrera förskottsbetalning mot en order.</t>
  </si>
  <si>
    <t>3.3.7</t>
  </si>
  <si>
    <t xml:space="preserve">IT-tjänsten ska ha funktion för att söka ut och skicka påminnelse på fakturor X antal dagar efter förfallodag. Funktion ska gå att utföra manuellt samt automatiskt utefter uppsatta regler. Det ska vara möjligt att se om en påminnelse skickats. </t>
  </si>
  <si>
    <t>3.3.8</t>
  </si>
  <si>
    <t xml:space="preserve">IT-tjänsten ska ha funktion för påminnelser och kravhantering som separat levereras till beställarens fakturadistributör. </t>
  </si>
  <si>
    <t>3.3.9</t>
  </si>
  <si>
    <t>IT-tjänsten ska ha funktion för automatisk ränteberäkning och debitering .</t>
  </si>
  <si>
    <t>3.3.10</t>
  </si>
  <si>
    <t xml:space="preserve">Det ska vara möjligt att granska och redigera fakturaförslag för räntefakturering. </t>
  </si>
  <si>
    <t>3.3.11</t>
  </si>
  <si>
    <t>IT-tjänsten ska ha funktion för att undanta räntefakturor och påminnelse för ränteberäkning.</t>
  </si>
  <si>
    <t>3.3.12</t>
  </si>
  <si>
    <t>IT-tjänsten ska ha funktion att skicka påminnelse gällande räntefakturor.</t>
  </si>
  <si>
    <t>3.3.13</t>
  </si>
  <si>
    <t>IT-tjänsten ska ha funktion för att läsa in inbetalningsfiler från banker.</t>
  </si>
  <si>
    <t>3.3.14</t>
  </si>
  <si>
    <t>Reversering av felaktig betalningsverifikation ska kunna göras.</t>
  </si>
  <si>
    <t>3.3.15</t>
  </si>
  <si>
    <t>Omkontering av felregistrerad verifikation ska kunna göras.</t>
  </si>
  <si>
    <t>3.3.16</t>
  </si>
  <si>
    <t>Utbetalningar av tillgodohavanden ska kunna göras via registrering i kundreskontran.
Utbetalningarna ska som minst kunna göras till Plusgiro, Bankgiro, Bankkontonummer och utbetalningskort.</t>
  </si>
  <si>
    <t>3.3.17</t>
  </si>
  <si>
    <t>IT-tjänsten ska ha funktion för att frånta ränteberäkning på valfria fakturor.</t>
  </si>
  <si>
    <t>3.3.18</t>
  </si>
  <si>
    <t>IT-tjänsten ska ha funktion för att söka ut förfallna fakturor och skicka till inkassobolag enligt uppsatta regler (ex. antal påminnelser, antal dagar efter förfallodatum, o.dyl.). Funktion ska gå att utföra manuellt samt automatiskt utefter uppsatta regler.</t>
  </si>
  <si>
    <t>3.3.19</t>
  </si>
  <si>
    <t>IT-tjänsten ska ha funktion av inläsning av återredovisning från inkassobolag.</t>
  </si>
  <si>
    <t>3.3.20</t>
  </si>
  <si>
    <t>IT-tjänsten ska kunna leverera uppgifter till inkassobolag om inbetalningar som skett direkt till kommunen men som skulle ha betalats till inkassobolag. Eventuella avskrivningar av kundfordringar ska ej skickas med.</t>
  </si>
  <si>
    <t>3.3.21</t>
  </si>
  <si>
    <t>IT-tjänsten ska ha funktion för automatisk inläsning och matchning av autogiroinbetalningar</t>
  </si>
  <si>
    <t>3.3.22</t>
  </si>
  <si>
    <t>IT-tjänsten ska ha funktion för att delutnyttja kreditfaktura vid bokning av betalning oavsett om det är OCR-inläsning eller manuell registrering.</t>
  </si>
  <si>
    <t>3.3.23</t>
  </si>
  <si>
    <t>IT-tjänsten ska ha funktion att läsa in kundens autogiromedgivande samt eventuella förändringar av detta medgivande och då uppdatera kunddata per automatik.</t>
  </si>
  <si>
    <t>3.3.24</t>
  </si>
  <si>
    <t xml:space="preserve">IT-tjänsten ska ha funktion för automatisk bortbokning av inbetalningsdifferens inom definierat beloppsintervall. </t>
  </si>
  <si>
    <t>3.4</t>
  </si>
  <si>
    <t>3.4.1</t>
  </si>
  <si>
    <t>IT-tjänsten ska ha stöd för dynamiska rapporter och/eller sökfunktion för förfallna fakturor.</t>
  </si>
  <si>
    <t>3.4.2</t>
  </si>
  <si>
    <t>IT-tjänsten ska funktion för att i reskontran kunna se fakturabilden i IT-tjänsten.</t>
  </si>
  <si>
    <t>3.4.3</t>
  </si>
  <si>
    <t>I IT-tjänsten ska finnas möjlighet att enkelt göra avstämning av order före fakturering. Denna avstämning ska innehålla uppgifter om bl a kontering, periodiseringsnycklar  så att eventuella rättningar kan göras innan fakturering.</t>
  </si>
  <si>
    <t>3.4.4</t>
  </si>
  <si>
    <t>IT-tjänsten ska ha funktion för åldersanalys över reskontran (dvs presentation över åldersfördelningen av fordringarna).</t>
  </si>
  <si>
    <t>3.4.5</t>
  </si>
  <si>
    <t>IT-tjänsten ska ha funktion för att presentera statistik såsom t.ex. historik, omsättning per kund, antal fakturor per kund, antal krav, genomsnittlig kredittid.</t>
  </si>
  <si>
    <t>3.4.6</t>
  </si>
  <si>
    <t>IT-tjänsten ska ha stöd för export till andra icke-ändringsbara format som exempelvis PDF.</t>
  </si>
  <si>
    <t>3.4.7</t>
  </si>
  <si>
    <t>3.4.8</t>
  </si>
  <si>
    <t>IT-tjänsten ska ha funktion för att skapa fellista vid ej matchade inbetalningar</t>
  </si>
  <si>
    <t>3.4.9</t>
  </si>
  <si>
    <t>Det ska vara möjligt att söka fram fakturor för respektive status</t>
  </si>
  <si>
    <t>Systemet bör ha funktion för att publicera "mina sidor" för kunder där de kan se obetalda/betalda fakturor</t>
  </si>
  <si>
    <t>Logistik</t>
  </si>
  <si>
    <t>Beskrivning efterfrågas</t>
  </si>
  <si>
    <t>Ingår</t>
  </si>
  <si>
    <t>Utv</t>
  </si>
  <si>
    <t>Utfall</t>
  </si>
  <si>
    <t>J/N</t>
  </si>
  <si>
    <t>Kommentar av leverantör</t>
  </si>
  <si>
    <t>7.1</t>
  </si>
  <si>
    <t>Generella krav</t>
  </si>
  <si>
    <t>7.1.1</t>
  </si>
  <si>
    <t>Systemet har funktion för att kunna lägga internorder från ett bolag till ett annat.
-Beskriv systemets funktioner för internhandel.</t>
  </si>
  <si>
    <t>x</t>
  </si>
  <si>
    <t>7.1.2</t>
  </si>
  <si>
    <t>Systemet har funktion för att skapa extern inköpsorder baserad på internorder</t>
  </si>
  <si>
    <t>7.1.3</t>
  </si>
  <si>
    <t>Systemet har funktion för att lagra information om leverantörer är prioriterad eller ej</t>
  </si>
  <si>
    <t>7.1.4</t>
  </si>
  <si>
    <t>Systemet har funktion för att föreslå prioriterad leverantör för inköpsorder</t>
  </si>
  <si>
    <t>7.1.5</t>
  </si>
  <si>
    <t>Systemet har funktion för att ta emot orderbekräftelse från leverantör elektroniskt och därmed ändra status på inköpsorder</t>
  </si>
  <si>
    <t>7.1.6</t>
  </si>
  <si>
    <t>Systemet har funktion för att kunna lägga orderbekräftelse på internorder</t>
  </si>
  <si>
    <t>7.1.7</t>
  </si>
  <si>
    <t>Systemet har funktion för dokumenthantering av packlistor, leveransbesked och andra leveransdokument.
-Beskriv hanteringen av leveransdokument och leveransbesked till kund.</t>
  </si>
  <si>
    <t>7.1.8</t>
  </si>
  <si>
    <t>Systemet har funktion för att få transparens från en inköpsorder i Kina-bolaget till en kundorder i det Svenska-bolaget (dvs. systemet knyter ihop kundorderna med inköpsordern via en inter-company order och kan uppdatera statusändringar på inköpsordern till kundordern).
-Besrkiv hur detta löses av systemet.</t>
  </si>
  <si>
    <t>7.2</t>
  </si>
  <si>
    <t>Lagerstyrning</t>
  </si>
  <si>
    <t>7.2.1</t>
  </si>
  <si>
    <t>Systemet har funktion för att ha negativa lagersaldon, dvs. att kunna utleverera fast ännu inte inleverans i systemet är utförd.</t>
  </si>
  <si>
    <t>7.2.2</t>
  </si>
  <si>
    <t>Systemet har funktion för att hantera olika typer av kostnad sålda varor såsom ”äkta”  FIFO, standardkostnad, genomsnittspris samt återanskaffningspris (senaste inköp).
-Beskriv hur systemet hanterar frakt, pålägg, tull etc.</t>
  </si>
  <si>
    <t>7.2.3</t>
  </si>
  <si>
    <t>Systemet har funktion för att sätta kostpris för en artikel baserat på inköpspris + faktisk transportkostnad.</t>
  </si>
  <si>
    <t>7.2.4</t>
  </si>
  <si>
    <t>Systemet har funktion för att visa kommande dags planerade inleveranser.</t>
  </si>
  <si>
    <t>7.2.5</t>
  </si>
  <si>
    <t>Systemet har funktion för flera lager.</t>
  </si>
  <si>
    <t>7.2.6</t>
  </si>
  <si>
    <t>Systemet har funktion för flera lagerplatser per lager.</t>
  </si>
  <si>
    <t>7.2.7</t>
  </si>
  <si>
    <t>Systemet har funktion för flera hyllr per lagerplatser.</t>
  </si>
  <si>
    <t>In- och Utleveranser</t>
  </si>
  <si>
    <t>7.3.1</t>
  </si>
  <si>
    <t>Systemet har funktion för att generera en lista varje morgon som visar alla inköp som skall komma in "idag", kunna se vilka artiklar som det är orderstock på och hantera dessa först samt se olika handpåläggningskrav, förbereda frakt  kolla kreditvärdighet, meddela sälj/kund om att gods är på väg in, fråga om delleverans etc.</t>
  </si>
  <si>
    <t>7.3.2</t>
  </si>
  <si>
    <t>Systemet har funktion för att inleverera artiklar mot inköpsorder.</t>
  </si>
  <si>
    <t>7.3.3</t>
  </si>
  <si>
    <t>Systemet har funktion för att visa alla rader på inköpsordern, kan göra urval samt ändra antal eller boka in hela inköpet.</t>
  </si>
  <si>
    <t>7.3.4</t>
  </si>
  <si>
    <t>Systemet har funktion för att kunna stämma av inköpsrader, leverantörsdata och få all nödvändig info presenterad av artiklarna som behöver verifieras/godkännas för inbokning, tex rätt antal, rätt innehåll etc.</t>
  </si>
  <si>
    <t>7.3.5</t>
  </si>
  <si>
    <t>Systemet har funktion för att om någon data saknas vid inbokning skall denna info skickas via epost eller skrivas ut, tex art 1 saknar vikt, art 2 saknar statnr, meddela leverantör (välja vem som skall kontaktas).</t>
  </si>
  <si>
    <t>7.3.6</t>
  </si>
  <si>
    <t>Systemet har funktion för att datumstämpla artiklar vid inregistrering i lager, när man omdisponerar från olika lager så får man som förslag att hämta från äldsta lagret först.</t>
  </si>
  <si>
    <t>7.3.7</t>
  </si>
  <si>
    <t>Systemet har funktion för att notifiera om att en artikel blivit inlevererad (t ex till säljare när en produkt är tillgänglig för leverans).</t>
  </si>
  <si>
    <t>7.3.8</t>
  </si>
  <si>
    <t>Systemet har funktion för att bevaka kommande utleveranser.</t>
  </si>
  <si>
    <t>7.3.9</t>
  </si>
  <si>
    <t>Systemet har funktion för restorder.</t>
  </si>
  <si>
    <t>7.3.10</t>
  </si>
  <si>
    <t>Systemet har funktion för övervakning av order, så att inga ligger obehandlade i systemet.</t>
  </si>
  <si>
    <t>7.3.11</t>
  </si>
  <si>
    <t>Systemet har funktion för att sända leveransavisering till kunden i samband med leveransen.</t>
  </si>
  <si>
    <t>7.3.12</t>
  </si>
  <si>
    <t>Systemet har funktion för att skriva ut packsedel via enstaka urval eller alla inneliggande leveransklara order.</t>
  </si>
  <si>
    <t>7.3.13</t>
  </si>
  <si>
    <t>Systemet har en funktion som kan hantera kundens adressuppgifter och per auto fylla i dessa på adresslapp för olika fraktleverantörer</t>
  </si>
  <si>
    <t>7.3.14</t>
  </si>
  <si>
    <t>Systemet har funktion för att registrera serienummer på artiklar vid plockning/utleverans.</t>
  </si>
  <si>
    <t>7.4</t>
  </si>
  <si>
    <t>7.4.1</t>
  </si>
  <si>
    <t>Systemet har rapport för artiklar per lagerplats.</t>
  </si>
  <si>
    <t>7.4.2</t>
  </si>
  <si>
    <t>Systemet har rapport för försenade kundorder, alla kundorder som behöver kontaktas.</t>
  </si>
  <si>
    <t>7.4.3</t>
  </si>
  <si>
    <t>Systemet har rapport för artiklar med negativt saldo.</t>
  </si>
  <si>
    <t>7.4.4</t>
  </si>
  <si>
    <t>Systemet har rapport för inventerade artiklar, datum, saldo, korrigering</t>
  </si>
  <si>
    <t>7.4.5</t>
  </si>
  <si>
    <t>Systemet har rapport för lagervärde FIFO, där man kan göra urval och/eller exkludera artikel/artikeltyp</t>
  </si>
  <si>
    <t>Försäljning</t>
  </si>
  <si>
    <t>9.1</t>
  </si>
  <si>
    <t>9.1.1</t>
  </si>
  <si>
    <t>Systemet har funktion för att sätta och följa upp säljbudget för respektive säljare och produktkategori.</t>
  </si>
  <si>
    <t>9.1.2</t>
  </si>
  <si>
    <t>Systemet har funktion för att arbeta med säljprognoser för säljare, kund, kundgrupp, artikel och artikelgrupp. Ska även inkludera historik, dvs jämförelse/förändring mot tidigare lämnade prognoser, samt utfall vs prognos</t>
  </si>
  <si>
    <t>9.1.3</t>
  </si>
  <si>
    <t>Systemet har funktion för att koppla mail/dokument (MS-Office/PDF) till kunder och kundorder.</t>
  </si>
  <si>
    <t>9.1.4</t>
  </si>
  <si>
    <t>Systemet har funktion för att flytta kontakter, aktiviteter dokument &amp; historik från en säljare till annan vid t.ex. byten av ansvarsområden eller när säljare slutar.</t>
  </si>
  <si>
    <t>9.1.5</t>
  </si>
  <si>
    <t>Systemet har funktion för att lägga in speciella överenskommelser på kunden som visas nästa gång man registrerar in en beställning från kunden (t. ex. fraktfri leverans vid nästa beställning).</t>
  </si>
  <si>
    <t>9.1.6</t>
  </si>
  <si>
    <t>Systemet har stöd för att i en sammanställd kundbild visa all relevant information om kunden (t.ex. orderhistorik, offerter, ärende etc.), samt även kunna visa en sammanställd bild per produkt. T ex vilka kunder har köpt, vilka volymer, till vilket pris, med vilken produkt-marginal, per artikel o artikelfamilj, finns verktyg, vem är leverantör etc (se även pkt 9.8.15 nedan)</t>
  </si>
  <si>
    <t>9.2</t>
  </si>
  <si>
    <t>Säljaktiviteter</t>
  </si>
  <si>
    <t>9.2.1</t>
  </si>
  <si>
    <t>Systemet har funktion för att löpande skriva noteringar (föra journal) om kunden (tex i samband med telefonkontakt eller korrespondens) vilka kan lagras sorterat per datum och användare.</t>
  </si>
  <si>
    <t>9.2.2</t>
  </si>
  <si>
    <t>Systemet har funktion för att registrera säljaktiviteter och noteringar per kund (planerade möten, telefonsamtal odyl).</t>
  </si>
  <si>
    <t>9.2.3</t>
  </si>
  <si>
    <t>Systemet har funktion för att till planerade aktiviteter generera påminnelser samt integrera dessa med användarens kalender i Outlook/Office 365.</t>
  </si>
  <si>
    <t>9.2.4</t>
  </si>
  <si>
    <t>Systemet har funktion för att registrera potentiella kunder (leads, prospects) med begränsad information.</t>
  </si>
  <si>
    <t>9.2.5</t>
  </si>
  <si>
    <t>Systemet har rapport för att visa aktivitetsuppföljning på säljare (t.ex. nykundsamtal / bokade möten).</t>
  </si>
  <si>
    <t>9.2.6</t>
  </si>
  <si>
    <t>Systemet har stöd för skapande av offerter (med en eller flera artiklar) med tidsbestämda giltighetstider</t>
  </si>
  <si>
    <t>9.2.7</t>
  </si>
  <si>
    <t>Systemet har stöd för mall-hantering vid offert med förifylld information t ex default payment term, warranty, validity etc</t>
  </si>
  <si>
    <t>9.2.8</t>
  </si>
  <si>
    <t>Systemet har funktion för att ta med offerter för specifika artiklar i inköpsförslag/prognoser.</t>
  </si>
  <si>
    <t>9.3</t>
  </si>
  <si>
    <t>Kundorder</t>
  </si>
  <si>
    <t>9.3.1</t>
  </si>
  <si>
    <t>Systemet har funktion för att konfigurera vilka fält och uppgifter som skall vara obligatoriska att fylla i vid orderregistrering.</t>
  </si>
  <si>
    <t>9.3.2</t>
  </si>
  <si>
    <t>Systemet har funktion för att beräkna ett första möjligt leveransdatum baserat på artiklars tillgänglighet i lager, planerade inleveranser samt registrerade ledtider.</t>
  </si>
  <si>
    <t>9.3.3</t>
  </si>
  <si>
    <t>Systemet har funktion för att läsa in olika typer av kundbeställningar elektroniskt.
-Beskriv vilka lösningar och format ni erbjuder för detta.</t>
  </si>
  <si>
    <t>9.3.4</t>
  </si>
  <si>
    <t>Systemet har funktion för att överföra offert till order.</t>
  </si>
  <si>
    <t>9.3.5</t>
  </si>
  <si>
    <t xml:space="preserve">Systemet har ett fält för beräknad leveranstid. </t>
  </si>
  <si>
    <t>9.3.6</t>
  </si>
  <si>
    <t>Systemet skall även kunna hantera specifika projektorders från order-inköp-leverans.</t>
  </si>
  <si>
    <t>9.4</t>
  </si>
  <si>
    <t>Orderbekräftelse</t>
  </si>
  <si>
    <t>9.4.1</t>
  </si>
  <si>
    <t>Systemet har funktion för att skapa och sända en orderbekräftelse till kunden elektroniskt.</t>
  </si>
  <si>
    <t>9.4.2</t>
  </si>
  <si>
    <t>Systemet har stöd för att automatiskt sända uppdaterat leveransbesked till kund när inleveranstid förändras för beställd artikel.</t>
  </si>
  <si>
    <t>9.5</t>
  </si>
  <si>
    <t>Prissättning</t>
  </si>
  <si>
    <t>9.5.1</t>
  </si>
  <si>
    <t>Systemet har funktion för att vid orderregistrering överstyra den prissättning och leveranstid som systemet föreslår.</t>
  </si>
  <si>
    <t>9.5.2</t>
  </si>
  <si>
    <t>Systemet har funktion för kundunika prislistor.</t>
  </si>
  <si>
    <t>9.5.3</t>
  </si>
  <si>
    <t>Systemet har funktion för att sätta giltighetstider (from-tom datum) på prislistorna.</t>
  </si>
  <si>
    <t>9.5.4</t>
  </si>
  <si>
    <t>Systemet har funktion för volymbaserade och stafflade försäljningsrabatter.</t>
  </si>
  <si>
    <t>9.5.5</t>
  </si>
  <si>
    <t>Systemet har funktion för att styra försäljningspris baserat på prislisor för kund och kundkategori med rabattter på artikel, artikelkategori och stafflat baserat på ordervolym.</t>
  </si>
  <si>
    <t>9.5.6</t>
  </si>
  <si>
    <t>Systemet har funktion för att beräkna försäljningspris baserat på marginal på landed cost.</t>
  </si>
  <si>
    <t>9.6</t>
  </si>
  <si>
    <t>Reklamation</t>
  </si>
  <si>
    <t>9.6.1</t>
  </si>
  <si>
    <t>Systemet har funktion för att registrera reklamationer från kund.</t>
  </si>
  <si>
    <t>9.6.2</t>
  </si>
  <si>
    <t>Systemet har funktion för att knyta reklamationsordern mot den kundorder som reklamationen avser.</t>
  </si>
  <si>
    <t>9.6.3</t>
  </si>
  <si>
    <t>Systemet har funktion för att registrera in beskrivning av felet, produkt, orsak, kontaktuppgifter, ordernummer samt en prioritetsnivåkod.</t>
  </si>
  <si>
    <t>9.6.4</t>
  </si>
  <si>
    <t>Systemet har funktion för serienummerhantering som underlag för RMA:er hantering</t>
  </si>
  <si>
    <t>9.6.5</t>
  </si>
  <si>
    <t>Systemet har funktion för registrering av status och åtgärd på RMA:er</t>
  </si>
  <si>
    <t>9.7</t>
  </si>
  <si>
    <t>Fakturering</t>
  </si>
  <si>
    <t>9.8.1</t>
  </si>
  <si>
    <t>Systemet har funktion för att automatiskt skapa fakturaunderlag för utlevererade ordrar.</t>
  </si>
  <si>
    <t>9.8.2</t>
  </si>
  <si>
    <t>Systemet har funktion för att komplettera och justera fakturaunderlaget innan fakturering.</t>
  </si>
  <si>
    <t>9.8.3</t>
  </si>
  <si>
    <t>Systemet har funktion för periodisering direkt vid faktureringstillfället.</t>
  </si>
  <si>
    <t>9.8.4</t>
  </si>
  <si>
    <t>Systemet har funktion för automatkontering av intäkter/moms.</t>
  </si>
  <si>
    <t>9.8.5</t>
  </si>
  <si>
    <t>Systemet har funktion för att frisläppa respektive orderrad för fakturering.</t>
  </si>
  <si>
    <t>9.8.6</t>
  </si>
  <si>
    <t>Systemet har funktion för att skicka elektronisk faktura i pdf via epost.</t>
  </si>
  <si>
    <t>9.8.7</t>
  </si>
  <si>
    <t>Systemet har funktion för att använda olika fakturalayouter med olika detaljeringsgrad (faktura enbart med totalsumma, faktura med detaljer per respektive strukturdel i produktstrukturen).</t>
  </si>
  <si>
    <t>9.8.8</t>
  </si>
  <si>
    <t>Systemet har funktion för att arbeta med olika layouter av fakturablanketter - kopplat till olika kundgrupper/kundtyper och proformafakturor (till tullen).</t>
  </si>
  <si>
    <t>9.8.9</t>
  </si>
  <si>
    <t>Systemet har funktion för att styras per kund och per kundorder vilken fakturatyp/fakturamall som används.</t>
  </si>
  <si>
    <t>9.8.10</t>
  </si>
  <si>
    <t>Systemet har funktion för att visa faktura på skärm (print preview) samt skapa i pdf-format.</t>
  </si>
  <si>
    <t>9.8.11</t>
  </si>
  <si>
    <t>Systemet har funktion för att bakdatera faktura</t>
  </si>
  <si>
    <t>9.8.12</t>
  </si>
  <si>
    <t>Systemet har funktion att vid godkänt returärende hämtas krediteringsuppgifter från RMA.</t>
  </si>
  <si>
    <t>9.8.13</t>
  </si>
  <si>
    <t>Systemet har funktion för att fakturera både i förskott och efterskott.</t>
  </si>
  <si>
    <t>9.8.14</t>
  </si>
  <si>
    <t>Systemet har rapport för uteliggande offerter och ordrar per kund.</t>
  </si>
  <si>
    <t>9.8.15</t>
  </si>
  <si>
    <t>Systemet har rapport för försäljningsstatistik över artiklar sålda per kund och till vilken prisnivå.</t>
  </si>
  <si>
    <t>Leverantörsreskontra</t>
  </si>
  <si>
    <t>4.1</t>
  </si>
  <si>
    <t>4.1.1</t>
  </si>
  <si>
    <t>IT-tjänsten ska ha funktion för att periodisera leverantörsfakturor via intergration eller vid manuell registrering.</t>
  </si>
  <si>
    <t>4.1.2</t>
  </si>
  <si>
    <t>IT-tjänsten ska registrera leverantörsfakturor som leverantörsskulder i huvudboken och reskontran vid ankomst</t>
  </si>
  <si>
    <t>4.1.3</t>
  </si>
  <si>
    <t>Det ska finnas möjlighet i IT-tjänsten att sätta regler för kontering</t>
  </si>
  <si>
    <t>4.1.4</t>
  </si>
  <si>
    <t>Det ska vara möjligt att justera momsbelopp vi manuell bokning</t>
  </si>
  <si>
    <t>4.1.5</t>
  </si>
  <si>
    <t>IT-tjänsten ska ha funktion för att ändra förfallodatum på en definitivbokad faktura.</t>
  </si>
  <si>
    <t>4.1.6</t>
  </si>
  <si>
    <t>IT-tjänsten ska kunna särskilja bokföring för intern handel  (kommunintern och förvaltningsintern) där hanteringen sker i Beställarens fakturahanteringsystem/e-handelssystem 
.</t>
  </si>
  <si>
    <t>4.1.7</t>
  </si>
  <si>
    <t>IT-Tjänsten ska ha funktion för manuell ändring av förfallodatum och betalningsmetod på en definitivbokförd faktura</t>
  </si>
  <si>
    <t>4.1.8</t>
  </si>
  <si>
    <t>IT-tjänsten ska ha funktion för att pausa/parkera en faktura innan utbetalning. D.v.s när den är defintivbokad.</t>
  </si>
  <si>
    <t>4.1.9</t>
  </si>
  <si>
    <t xml:space="preserve">IT-tjänsten ska ha funktion för att varna för registrering av dubbletter. </t>
  </si>
  <si>
    <t>4.2</t>
  </si>
  <si>
    <t>Betalning</t>
  </si>
  <si>
    <t>4.2.1</t>
  </si>
  <si>
    <t>IT-tjänsten ska stödja tvåhandsprincipen för betalningsuppdrag.</t>
  </si>
  <si>
    <t>4.2.2</t>
  </si>
  <si>
    <t>IT-tjänsten ska kunna skapa flera betalningsförslag kopplat till olika typer av betalningar.</t>
  </si>
  <si>
    <t>4.2.3</t>
  </si>
  <si>
    <t>IT-tjänsten ska ha funktion för att elektroniskt läsa in bekräftelse av utförda betalningar med automatmatchning.</t>
  </si>
  <si>
    <t>4.2.4</t>
  </si>
  <si>
    <t>IT-tjänsten ska ha funktion för betalning i annan valuta än SEK med automatisk beräkning av kursvinst/kursförlust mellan faktura &amp; betalning samt bankavgifter</t>
  </si>
  <si>
    <t>4.2.5</t>
  </si>
  <si>
    <t>IT-tjänsten ska ha funktion för att återaktivera en faktura som blivit avvisad av bank.</t>
  </si>
  <si>
    <t>4.2.6</t>
  </si>
  <si>
    <t>IT-tjänsten ska ha funktion för att skapa en fil på betalningsförslag som kan skickas för kontroll av innehållet till beställarens valda leverantör.</t>
  </si>
  <si>
    <t>4.3</t>
  </si>
  <si>
    <t>4.3.1</t>
  </si>
  <si>
    <t>4.3.2</t>
  </si>
  <si>
    <t>IT-tjänsten ska kunna skapa rapport över obetalda fakturor (åldersanalys av leverantörsreskontra).</t>
  </si>
  <si>
    <t>4.3.3</t>
  </si>
  <si>
    <t>IT-tjänsten ska kunna skapa rapport med betalningsprognoser.</t>
  </si>
  <si>
    <t>4.3.5</t>
  </si>
  <si>
    <t xml:space="preserve">IT-tjänsten ska ha funktion för att skapa rapport för samtliga fakturor kopplat till en leverantör. </t>
  </si>
  <si>
    <t>4.5</t>
  </si>
  <si>
    <t>Leverantörsregister</t>
  </si>
  <si>
    <t>4.5.1</t>
  </si>
  <si>
    <t>IT-tjänsten ska ha funktion för att läsa in och uppdatera leverantörsuppgifter från externa system. Regler för matchning ska kunna göras på multipla fält.</t>
  </si>
  <si>
    <t>IT-tjänsten ska ha funktion för att via Excel läsa in och uppdatera leverantörsuppgifter. Regler för matchning ska kunna göras på multipla fält.</t>
  </si>
  <si>
    <t>4.5.2</t>
  </si>
  <si>
    <t>IT-tjänsten ska ha funktion för att kunna lägga upp nya leverantörer och uppdatera befintliga leverantörer manuellt.</t>
  </si>
  <si>
    <t>4.5.3</t>
  </si>
  <si>
    <t xml:space="preserve">IT-tjänsten ska ha funktion för att särskilja leverantörsgrupper. </t>
  </si>
  <si>
    <t>4.5.4</t>
  </si>
  <si>
    <t>IT-tjänsten ska ha funktion för att registrera koncernkod på leverantör(koncern/dotterföretag) vilken styr avvikande lev.skuldskonto.</t>
  </si>
  <si>
    <t>4.5.5</t>
  </si>
  <si>
    <t>IT-tjänsten ska ha funktion för att registrera bankuppgifter till utländska leverantörer, så som IBAN-kontonummer, BIC/SWIFT, amerikansk standard.</t>
  </si>
  <si>
    <t>4.5.6</t>
  </si>
  <si>
    <t>IT-tjänsten ska ha stöd för att signalera/rapportera vid nyupplagd leverantör eller ändring i leverantörsregister.</t>
  </si>
  <si>
    <t>4.5.7</t>
  </si>
  <si>
    <t>IT-tjänsten ska ge möjlighet att registrera flera betaluppgifter på samma leverantör, t ex uppgifter om factoringbolag.</t>
  </si>
  <si>
    <t>IT-tjänsten ska ge möjlighet att resistrera betaluppgifter på leverantören. Som minst Plusgiro, Bankgiro, Bankkontonummer och utbetalningskort.</t>
  </si>
  <si>
    <t>4.5.8</t>
  </si>
  <si>
    <t>IT-tjänsten ska ha funktion för koppla dokument till leverantören och leverantörsfaktura</t>
  </si>
  <si>
    <t>IT-tjänsten bör ha funktion för att från Excel importera och skapa leverantörsfakturor och betalningar.</t>
  </si>
  <si>
    <t>4.5.9</t>
  </si>
  <si>
    <t>IT-tjänsten bör ha funktion att förenkla leverantörupplägg genom att  hämta bolagsinformation (som minst organisationsnummer, betalningsuppgifter, f-skatt, bluff.) från  t ex. Inyett eller annan aktör.</t>
  </si>
  <si>
    <t>Anläggningsregister</t>
  </si>
  <si>
    <t>5.1</t>
  </si>
  <si>
    <t>5.1.1</t>
  </si>
  <si>
    <t>IT-tjänsten ska ha funktion för att hantera anläggningar och göra avskrivningar på dessa med linjär avskrivning över valfri tidsperiod.</t>
  </si>
  <si>
    <t>5.1.2</t>
  </si>
  <si>
    <t>Det ska vara möjligt att ha valfria avskrivningstider per anläggningsgrupp.</t>
  </si>
  <si>
    <t>5.1.3</t>
  </si>
  <si>
    <t>IT-tjänsten ska ha funktion för att skriva av till registrerat restvärde.</t>
  </si>
  <si>
    <t>5.1.4</t>
  </si>
  <si>
    <t>IT-tjänsten ska ha funktion för att registrera in och följa upp leasade inventarier (t.ex. fordon).</t>
  </si>
  <si>
    <t>5.1.5</t>
  </si>
  <si>
    <t>IT-tjänsten ska ha funktion för att beräkna och bokföra skattemässig avskrivning och avskrivning enligt ekonomisk livslängd.</t>
  </si>
  <si>
    <t>5.1.6</t>
  </si>
  <si>
    <t>IT-tjänsten ska ha funktion för att göra avyttringar upp/nedskrivningar i IT-tjänsten och automatiskt få detta konterat.</t>
  </si>
  <si>
    <t>5.1.7</t>
  </si>
  <si>
    <t>IT-tjänsten ska ha stöd för komponentavskrivning.</t>
  </si>
  <si>
    <t>5.1.8</t>
  </si>
  <si>
    <t>IT-tjänsten ska hantera beräkningar av framtida avskrivningar (estimat för budget arbete) på valfri organisatorisk nivå.</t>
  </si>
  <si>
    <t>5.1.9</t>
  </si>
  <si>
    <t>IT-tjänsten ska ha funktion för att justera avstämningskonton i anläggningsreskontran om felaktiga differenser uppstår mellan reskontra och huvudbok.</t>
  </si>
  <si>
    <t>5.1.10</t>
  </si>
  <si>
    <t>IT-tjänsten ska ha möjlighet att till en anläggning ange värden på samtliga koddelar/kodsträngen och vid behov organisatorisk tillhörighet.</t>
  </si>
  <si>
    <t>5.1.11</t>
  </si>
  <si>
    <t>IT-Tjänsten ska ha funktion för att göra avstämningar mellan huvudbok och anläggningsregistret</t>
  </si>
  <si>
    <t>5.2</t>
  </si>
  <si>
    <t>Registrera anläggning</t>
  </si>
  <si>
    <t>5.2.1</t>
  </si>
  <si>
    <t>Anläggningsregister ska vara integrerad med leverantörsreskontran. Detta möjliggör att nyregistrera en anläggning vid registrering av leverantörsfaktura.</t>
  </si>
  <si>
    <t>5.2.2</t>
  </si>
  <si>
    <t>IT-tjänsten ska kunna hantera bokningar via manuella bokföringsordrar på anskaffningsreskontrans tillgångskonton och generera post i anläggningsregistret.</t>
  </si>
  <si>
    <t>5.2.3</t>
  </si>
  <si>
    <t>Ändringar i anläggningsregistret avseende koddelar/kontosträng ska generera automatiskt huvudbokstransaktioner. T ex byte av kostnadsställe.</t>
  </si>
  <si>
    <t>5.2.4</t>
  </si>
  <si>
    <t>I basuppgifter ska det finnas ett eller flera "fritext"-fält för varje inventarie eller anläggning.</t>
  </si>
  <si>
    <t>5.2.5</t>
  </si>
  <si>
    <t>IT-tjänsten ska tillhandahålla spårbarhet så som ange anläggnings geografiska läge och vem som innehar den. Möjlighet att enkelt ändra/uppdatera.</t>
  </si>
  <si>
    <t>5.2.6</t>
  </si>
  <si>
    <t>IT-tjänsten ska ha funktion för att ange olika typer av anläggningar.</t>
  </si>
  <si>
    <t>5.2.7</t>
  </si>
  <si>
    <t>Ett färdigställt projekt (t.ex. ombyggnad av kontor) ska kunna överföras till anläggningsregistret.</t>
  </si>
  <si>
    <t>5.2.8</t>
  </si>
  <si>
    <t>IT-tjänsten ska tillhandahålla funktion för att registrera in anläggningar utan värde.</t>
  </si>
  <si>
    <t>5.3</t>
  </si>
  <si>
    <t>5.3.1</t>
  </si>
  <si>
    <t>IT-tjänsten ska ha utfallsdokument/rapport på räkenskapsenliga och skattemässiga avskrivningar av inventarier och anläggningstillgångar samt olika avskrivningsplaner.</t>
  </si>
  <si>
    <t>5.3.2</t>
  </si>
  <si>
    <t xml:space="preserve">Det ska gå att efterregistrera anläggningar. Det ska vara möjligt att bakdatera de ackumelerade avskrivningarna bokförda  i öppen period.
</t>
  </si>
  <si>
    <t>5.3.3</t>
  </si>
  <si>
    <t>Det ska gå att se återstående anläggningars värde och avskrivningar årsvis framåt.</t>
  </si>
  <si>
    <t>5.3.4</t>
  </si>
  <si>
    <t>IT-tjänsten ska tillhandahålla fullständig standardrapport för investeringar, avskrivningar och restvärde per period och anläggningsid. Rapporten ska gå att summeras på ovan nämnda värden.</t>
  </si>
  <si>
    <t>IT-tjänsten ska kunna tillhandahålla rapporter över anläggningar per konto, ansvar och typ samt valfria kombinationer och urval av dessa.</t>
  </si>
  <si>
    <t>Projekt</t>
  </si>
  <si>
    <t>6.1</t>
  </si>
  <si>
    <t>Projektregister</t>
  </si>
  <si>
    <t>6.1.1</t>
  </si>
  <si>
    <t>Projekt ska kunna delas upp i underprojekt.</t>
  </si>
  <si>
    <t>6.1.2</t>
  </si>
  <si>
    <t xml:space="preserve">I IT-tjänsten ska det vara möjligt men inte tvingande att lägga upp budget per projekt. </t>
  </si>
  <si>
    <t>6.1.3</t>
  </si>
  <si>
    <t>Projekt ska kunna ha flera olika status, t.ex. budget, pågående och avslutat.</t>
  </si>
  <si>
    <t>6.1.4</t>
  </si>
  <si>
    <t>Det ska finnas möjligheter att använda mallar med uppsatta parametrar som man kopiera när man lägger upp nya projekt.</t>
  </si>
  <si>
    <t>6.1.5</t>
  </si>
  <si>
    <t>Projekt och dess delar ska antingen kunna balansföras (för senare aktivering) eller resultatföras.</t>
  </si>
  <si>
    <t>6.2</t>
  </si>
  <si>
    <t>Avslut av projekt</t>
  </si>
  <si>
    <t>6.2.1</t>
  </si>
  <si>
    <t>Funktionalitet för att kunna stänga delar av och hela projekt samt aktiviteter ska finnas.</t>
  </si>
  <si>
    <t>6.2.2</t>
  </si>
  <si>
    <t>Det ska vara möjligt för ansvariga att återöppna stängda aktiviteter och projekt för ytterligare rapportering.</t>
  </si>
  <si>
    <t>6.3</t>
  </si>
  <si>
    <t>6.3.2</t>
  </si>
  <si>
    <t>Det ska vara möjligt att löpande följa upp upparbetad kostnad/intäkt per projekt och underprojekt.</t>
  </si>
  <si>
    <t>Införande och förvaltning</t>
  </si>
  <si>
    <t>Införandet av IT-tjänsten</t>
  </si>
  <si>
    <t>Leverantören ska tillhandahålla de tjänster som fordras vid införandet av IT-tjänsten, såsom projektledning för leverantörens åtagande, initial utbildning, migrering, installation och driftsättning, implementeringstjänster samt integration med befintliga system. </t>
  </si>
  <si>
    <t>Vid införande av IT-tjänsten ska Leverantören tillsammans med Beställaren konfigurera, parametersätta och ställa in tjänsten i en iterativ process enligt Beställarens behov.</t>
  </si>
  <si>
    <t>Båda parterna ska ha utsedda projektledare som tillsammans tar fram en projektplan och leder införandet av IT-tjänsten. </t>
  </si>
  <si>
    <t>Leverantören ska under införandet tillsätta dokumenterade erfarna konsulter med god kännedom inom respektive komponent i IT-tjänsten och hur dessa på bästa sätt anpassas till kundens behov. Beställaren ska få godkänna konsulterna via granskning av deras CVn, vid uppdragsstart och även vid eventuellt byte av konsulter. Se även avsnitt "Leverantörens personal" i Huvudavtalet.</t>
  </si>
  <si>
    <t xml:space="preserve">Leverantören ska för införande av IT-tjänsten tillsätta en dokumenterad erfaren projektledare med erfarenhet av att införa samma IT-tjänst hos en motsvarande kund. Beställaren ska få godkänna projektledaren via granskning av dennes CV. 
</t>
  </si>
  <si>
    <t xml:space="preserve">Leverantörens projektledare ska under hela införandeprojektet driva Leverantörens införandeaktiviteter samt rapportera till Beställarens projektledare för införandet. </t>
  </si>
  <si>
    <t>Parterna ska utse en projektgrupp snarast efter det att Avtal ingåtts. Projektgruppen ska bestå av de representanter som respektive Part utsett och ska ha befogenhet att företräda Parten inom ramen för projektgruppens arbete. </t>
  </si>
  <si>
    <t>Direkt efter avtalstecknande ska ett första projektmöte genomföras, där en gemensam plan för införande av IT-tjänsten ska göras tillsammans med Beställaren. Leverantören ska kunna utgå från det förslag på införandeplan som ingår i anbudet. Leverantören ska kunna delta i ett sådant möte inom 2 (två) veckor från avtalsstart (avtalsstart framgår i Huvudavtalet).</t>
  </si>
  <si>
    <t>7.1.9</t>
  </si>
  <si>
    <t>Slutgiltig projektplan ska godkännas skriftligt av båda parter innan införandet kan påbörjas.</t>
  </si>
  <si>
    <t>7.1.10</t>
  </si>
  <si>
    <t xml:space="preserve">Projektledaren hos Leverantören ska vid införandet av IT-tjänsten utgöra en single point of kontakt för Beställaren. </t>
  </si>
  <si>
    <t>7.1.11</t>
  </si>
  <si>
    <t>Leverantörens utsedda projektledare och tekniska konsulter ska vara tillgängliga under hela införandeprojektet, detta gäller även om införandet försenas.</t>
  </si>
  <si>
    <t>7.1.12</t>
  </si>
  <si>
    <t>Leverantören ska ansvara för att leveranstester utförs på ett grundligt sätt och åtgärdar eventuella fel innan Beställarens acceptanstester tar vid.</t>
  </si>
  <si>
    <t>7.1.13</t>
  </si>
  <si>
    <t>Leveranstest och acceptanstest ska ske enligt Avtal p.4</t>
  </si>
  <si>
    <t>7.1.14</t>
  </si>
  <si>
    <t>Projektgruppen ska svara för följande; utarbetande och genomförande av leveranstester och acceptanstester, uppföljning av leveransstatus och beslut om åtgärder med anledning därav. Med leveransstatus avses exempelvis hur leverans förhåller sig till specifikation och tidplan, förväntade förseningar eller andra problem samt önskade eller överenskomna förändringar. </t>
  </si>
  <si>
    <t>7.1.15</t>
  </si>
  <si>
    <t>Vid införandet av IT-tjänsten ska Leverantören tillsammans med Beställaren administrera roller, behörigheter och inställningar för olika målgrupper samtidigt som inloggningsalternativ genom kommunen anpassas. </t>
  </si>
  <si>
    <t>7.1.16</t>
  </si>
  <si>
    <t>Vid införande ska migrering (transformering, validering och import) av aktuell data ske från nuvarande IT-tjänst, Unit4 ERP.  
Migrering ska avse minst huvudbokstranskationerna, kund- och levreskontra från 22-05-01 samt betalda och obetalda kund- och leverantörsfakturor vid aktuellt migreringsdatum, samt anläggningsregistret</t>
  </si>
  <si>
    <t>7.1.17</t>
  </si>
  <si>
    <t>Innan leveransgodkännande ska en godkänd konfiguration definieras för en säker drift och förvaltning. </t>
  </si>
  <si>
    <t>7.1.18</t>
  </si>
  <si>
    <t>IT-tjänsten ska under sitt införande anpassas till Huddinge kommuns organisation, regler, ekonomimodell, organisation och behov.</t>
  </si>
  <si>
    <t>7.1.19</t>
  </si>
  <si>
    <t xml:space="preserve">Leverantören ska vid införande kunna utgå från till sitt anbud bifogat förslag på införandeplan (framtaget i enlighet med Beställarens förutsättningar och krav i upphandlingsdokument), enligt Bilaga 14 Förslag på införandeplan.
</t>
  </si>
  <si>
    <t>Utbildning</t>
  </si>
  <si>
    <t xml:space="preserve">I samband med Införandeprojektet ska Leverantören genomföra utbildningar både riktade till alla användare men även anpassade till de olika funktionerna (rollerna) och efter de processe/moduler som finns i IT-tjänsten med syftet att säkerställa att personalen kan använda IT-tjänsten.
Generella utbildningen som riktar sig till alla användare ska beröra ca 70 personer. De specifika rollerna är exempelvis: Systemadministratör, Ekonom, Controller, Ekonomiassistent samt övriga Handläggare.
Kostnaden för dessa utbildningar ska ingå i kostnaden för Införandeprojektet. 
</t>
  </si>
  <si>
    <t>Leverantören ska tillhandahålla utbildningsmaterial. Utbildningsmaterial ska vara på svenska. Beställare ska ha rätt att använda utbildningsmaterialet för internutbildning inom organisationen, exempelvis vid nyanställningar.</t>
  </si>
  <si>
    <t>Utbildningen ska, om inget annat överenskommes mellan Parterna, ske i Huddinge kommuns lokaler eller Digitalt</t>
  </si>
  <si>
    <t>Leverantören bör kunna tillhandahålla en e-utbildning till Användare under avtalstiden.</t>
  </si>
  <si>
    <t>Vid större förändringar efter det att IT-tjänsten tagits i bruk ska utbildning ske för berörd personal.</t>
  </si>
  <si>
    <t>I införandet ska Leverantören tillhandahålla en kundspecifik utbildningsmiljö. Utbildningsmiljön ska vara så identisk utifrån funktionalitet med den planerade produktionsmiljön som är praktiskt möjligt.</t>
  </si>
  <si>
    <r>
      <t xml:space="preserve">Leverantören ska fortlöpande erbjuda utbildning i IT-tjänsten för hos Beställaren nya </t>
    </r>
    <r>
      <rPr>
        <sz val="10"/>
        <rFont val="Calibri"/>
        <family val="2"/>
        <scheme val="minor"/>
      </rPr>
      <t xml:space="preserve">användare. </t>
    </r>
    <r>
      <rPr>
        <i/>
        <sz val="10"/>
        <rFont val="Calibri"/>
        <family val="2"/>
        <scheme val="minor"/>
      </rPr>
      <t xml:space="preserve">Kostnad för detta debiteras enligt p.4.1-4.2 flik "Priser"
</t>
    </r>
    <r>
      <rPr>
        <sz val="10"/>
        <rFont val="Calibri"/>
        <family val="2"/>
        <scheme val="minor"/>
      </rPr>
      <t>Leverantören ska kunna tillhandahålla utbildningar enligt beskrivet utbildningsutbud som lämnats i samband med anbudet.</t>
    </r>
  </si>
  <si>
    <t>7.3</t>
  </si>
  <si>
    <t>Samverkan och förvaltning</t>
  </si>
  <si>
    <r>
      <rPr>
        <sz val="10"/>
        <color rgb="FF000000"/>
        <rFont val="Calibri"/>
        <family val="2"/>
        <scheme val="minor"/>
      </rPr>
      <t>Samverkan ska ske i enlighet med vad som f</t>
    </r>
    <r>
      <rPr>
        <sz val="10"/>
        <rFont val="Calibri"/>
        <family val="2"/>
        <scheme val="minor"/>
      </rPr>
      <t>ramgår</t>
    </r>
    <r>
      <rPr>
        <sz val="10"/>
        <color rgb="FF000000"/>
        <rFont val="Calibri"/>
        <family val="2"/>
        <scheme val="minor"/>
      </rPr>
      <t xml:space="preserve"> i</t>
    </r>
    <r>
      <rPr>
        <sz val="10"/>
        <rFont val="Calibri"/>
        <family val="2"/>
        <scheme val="minor"/>
      </rPr>
      <t xml:space="preserve"> Bilaga 4 </t>
    </r>
    <r>
      <rPr>
        <sz val="9"/>
        <rFont val="Calibri"/>
        <family val="2"/>
        <scheme val="minor"/>
      </rPr>
      <t xml:space="preserve">- </t>
    </r>
    <r>
      <rPr>
        <i/>
        <sz val="9"/>
        <rFont val="Calibri"/>
        <family val="2"/>
        <scheme val="minor"/>
      </rPr>
      <t>Samverkan och ändringshantering</t>
    </r>
    <r>
      <rPr>
        <sz val="9"/>
        <rFont val="Calibri"/>
        <family val="2"/>
        <scheme val="minor"/>
      </rPr>
      <t>.</t>
    </r>
    <r>
      <rPr>
        <sz val="10"/>
        <color rgb="FFFF0000"/>
        <rFont val="Calibri"/>
        <family val="2"/>
        <scheme val="minor"/>
      </rPr>
      <t xml:space="preserve">
</t>
    </r>
    <r>
      <rPr>
        <sz val="10"/>
        <color rgb="FF000000"/>
        <rFont val="Calibri"/>
        <family val="2"/>
        <scheme val="minor"/>
      </rPr>
      <t xml:space="preserve">Leverantör ska gemensamt med Beställaren ta fram och etablera samverkansorganisationen. Samverkansorganisationen och de personer som verkar i olika roller i den ska dokumenteras tydligt. </t>
    </r>
  </si>
  <si>
    <t xml:space="preserve">Anbudsgivaren ska i samverkan med kommunen aktivt delta i förvaltning av IT-tjänsten samt i arbetet att förbättra och utveckla IT-tjänsten. </t>
  </si>
  <si>
    <t>Anbudsgivaren ska fortlöpande samla in kundens synpunkter och behov för vidareutveckling av IT-tjänsten.</t>
  </si>
  <si>
    <t>Anbudsgivaren ska presentera sin hantering av framtida utveckling av IT-tjänsten</t>
  </si>
  <si>
    <t>En aktiv kundgrupp ska finnas med återkommande utvecklingsträffar (minst en gång per år).  </t>
  </si>
  <si>
    <t>Kundansvarig/konsulttjänter</t>
  </si>
  <si>
    <t xml:space="preserve">Leverantören ska tillhandahålla en kundansvarig som ska vara huvudansvarig för tjänsternas utförande gentemot Beställaren. </t>
  </si>
  <si>
    <t>Kundansvarig ska ha goda kunskaper om och erfarenhet av IT-tjänsten som Leverantören tillhandahåller inom ramen för avtalet. Kundansvarig ska ha fullgod kännedom om Leverantörens aktuella processer, tjänster och konsulter.</t>
  </si>
  <si>
    <t xml:space="preserve">Kundansvarig ska normalt vara tillgänglig kontorstid, vardagar, och ha en återkopplingstid på max 2 arbetsdagar. Ansvaret får överlämnas till annan hos leverantören anställd med likvärdig kompetens vid frånvaro. </t>
  </si>
  <si>
    <t>Kundansvarig ska ha tidigare erfarenhet av rollen som kundansvarig.</t>
  </si>
  <si>
    <t>Kundansvarig ska kunna bytas ut på Beställarens begäran</t>
  </si>
  <si>
    <t>7.4.6</t>
  </si>
  <si>
    <t>Leverantören ska kunna tillhandahålla tekniska konsulttjänster, såsom utveckling och anpassning, av IT-tjänsten under avtalstiden.</t>
  </si>
  <si>
    <t>7.4.7</t>
  </si>
  <si>
    <t xml:space="preserve">Leverantören ska i största möjliga mån tillhandahålla en till Beställaren dedikerad teknisk konsult som är väl insatt i Beställarens uppsättning av IT-tjänsten. Om konsulten måste bytas p.g.a. sakliga skäl (vilket Beställaren måste godkänna ), ska överlämningen av uppdraget ske kostnadsfritt för Beställaren.
Det ska vara möjligt att teckna avtal på fast antal timmar per månad i syfte att säkerställa tillgänglighet. </t>
  </si>
  <si>
    <t>7.4.8</t>
  </si>
  <si>
    <t>Vid beställning av fastprisuppdrag ska priset inte överstiga pris för uppskattat antal timmar för konsulttjänster enligt Bilaga Pris p.3.1-3.2. Det överenskomna fasta priset gäller även om faktiskt antal timmar överstiger det uppskattade antal timmar.</t>
  </si>
  <si>
    <t>7.4.9</t>
  </si>
  <si>
    <t xml:space="preserve">Bekräftelse av de beställda konsultuppdragen ska vara skriftligt och innehålla minst antal timmar, konsultens namn/kompetens, uppdragets resultat, leveransdatum och budgetpris (alternativt fast pris) för uppdraget. Leverantören ska meddela i god tid om uppskattat antal riskerar överstigs, vilket måste godkännas av Beställaren. </t>
  </si>
  <si>
    <t>7.4.10</t>
  </si>
  <si>
    <t>Om inget annat överenskommes ska Leverantören kunna tillhandahålla konsult för utvecklings/förbättrings arbete (ej kopplat till support enligt Bilaga 6 SLA) inom tjugo (20) arbetsdagar.</t>
  </si>
  <si>
    <t>7.5</t>
  </si>
  <si>
    <t>Dokumentation</t>
  </si>
  <si>
    <t>7.5.1</t>
  </si>
  <si>
    <t>Leverantören ska vid införandet tillhandahålla en skriftlig dokumentation på svenska som beskriver hur IT-tjänsten är skyddad mot obehörig åtkomst, manipulation och intrång, för behöriga och obehöriga användare, skydd mot skadlig programvara och intrång.</t>
  </si>
  <si>
    <t>7.5.2</t>
  </si>
  <si>
    <t>Leverantören ska hålla en uppdaterad dokumentation på Beställarens tekniska uppsättningen  av IT-tjänsten.</t>
  </si>
  <si>
    <t>7.5.3</t>
  </si>
  <si>
    <t>Användardokumentation och lathundar ska finnas både för Användare och Systemadministratörer av IT-tjänsten. Användarmanualerna ska vara anpassade efter användare och relevanta för de gränssnitt/eventuella applikationer de använder. </t>
  </si>
  <si>
    <t>7.5.4</t>
  </si>
  <si>
    <t>Systemdialoger och system- och användardokumentation ska vara på svenska. </t>
  </si>
  <si>
    <t>7.5.5</t>
  </si>
  <si>
    <t>Versionsuppdaterad användardokumentation ska finnas tillgänglig elektroniskt. </t>
  </si>
  <si>
    <t>7.5.6</t>
  </si>
  <si>
    <r>
      <t xml:space="preserve">Det ska finnas en detaljerad systemdokumentation på svenska över Beställarens uppsättning av IT-tjänsten. Den ska minst innehålla: 
• Systembeskrivning/Modulbeskrivningar 
• Systemskiss 
• Dataflöden 
• Backup- och återställningsplan 
• Beroenden till andra eventuella komponenter och system där systemens dataflöden och krav på nätverk och kommunikationsportar tydligt framgår.  
• Backup- och återställningsplan som beskriver hur man uppfyller tillgänlighetskrav enligt Bilaga 6 </t>
    </r>
    <r>
      <rPr>
        <i/>
        <sz val="10"/>
        <rFont val="Calibri"/>
        <family val="2"/>
        <scheme val="minor"/>
      </rPr>
      <t>Servicenivåer (SLA)</t>
    </r>
    <r>
      <rPr>
        <sz val="10"/>
        <rFont val="Calibri"/>
        <family val="2"/>
        <scheme val="minor"/>
      </rPr>
      <t xml:space="preserve">, inklusive hur man skyddar sig mot en ransomewareattack (i enlighet med Bilaga 3 </t>
    </r>
    <r>
      <rPr>
        <i/>
        <sz val="10"/>
        <rFont val="Calibri"/>
        <family val="2"/>
        <scheme val="minor"/>
      </rPr>
      <t>Säkerhet</t>
    </r>
    <r>
      <rPr>
        <sz val="10"/>
        <rFont val="Calibri"/>
        <family val="2"/>
        <scheme val="minor"/>
      </rPr>
      <t>)</t>
    </r>
  </si>
  <si>
    <t>7.5.7</t>
  </si>
  <si>
    <t>Leverantören ska vid införandet tillhandahålla en skriftlig dokumentation på svenska som beskriver hur IT-tjänsten är skyddad mot obehörig åtkomst, manipulation och intrång, för behöriga och obehöriga användare, skydd mot skadlig programvara och intrång. </t>
  </si>
  <si>
    <t>7.5.8</t>
  </si>
  <si>
    <t>Samtlig dokumentation på systemlösningen ska överlämnas till Beställaren efter leveransgodkännande. </t>
  </si>
  <si>
    <t>7.5.9</t>
  </si>
  <si>
    <t>Dokumentationen ska uppdateras vid förändringar och överlämnas till Beställaren. </t>
  </si>
  <si>
    <t>7.7</t>
  </si>
  <si>
    <t>Support</t>
  </si>
  <si>
    <t>7.7.1</t>
  </si>
  <si>
    <t>7.7.1.a</t>
  </si>
  <si>
    <t>7.7.1.b</t>
  </si>
  <si>
    <t>7.7.1.c</t>
  </si>
  <si>
    <t>7.7.1.d</t>
  </si>
  <si>
    <t>7.7.1.e</t>
  </si>
  <si>
    <t>Leverantören bör tillhandahålla tillgänglighet i enlighet med vad som anges i Bilaga 6 - Servicenivåavtal (SLA) stycke 3</t>
  </si>
  <si>
    <t>7.7.2</t>
  </si>
  <si>
    <t>Leverantörens servicedesk ska  erbjuda felhantering såväl som stöd och rådgivning kring handhavande av IT-tjänsten.</t>
  </si>
  <si>
    <t>7.7.3</t>
  </si>
  <si>
    <t>Leverantören ska tillhandahålla en dedikerad kontaktperson till systemadministratörer.</t>
  </si>
  <si>
    <t>7.7.4</t>
  </si>
  <si>
    <t>Supporten ska vara bemannad under Normal arbetstid (8-17).</t>
  </si>
  <si>
    <t>7.7.5</t>
  </si>
  <si>
    <t>Frågor och felrapportering ska kunna rapporteras in via telefon samt via e-post alternativt ärendehanteringssystem.</t>
  </si>
  <si>
    <t>7.7.6</t>
  </si>
  <si>
    <t>Vid behov av support ska Leverantören kunna hantera detta via telefon och/eller med fjärranslutning under Normal arbetstid.</t>
  </si>
  <si>
    <t>7.7.7</t>
  </si>
  <si>
    <t>Supportpersonalen ska vara kompetent och serviceinriktad.</t>
  </si>
  <si>
    <t>7.7.8</t>
  </si>
  <si>
    <t>Leverantören ska kunna erbjuda en hög servicenivå med tydliga och mätbara tillgänglighetsnivåer.</t>
  </si>
  <si>
    <t>7.7.9</t>
  </si>
  <si>
    <t>Kostnad för support ska vara inkluderat i avtalspriset.</t>
  </si>
  <si>
    <t>7.7.10</t>
  </si>
  <si>
    <t>Leverantören ska erbjuda en bemannad svensktalande servicedesk som är tillgänglig via telefon, e-post och webbsida.</t>
  </si>
  <si>
    <t>7.7.11</t>
  </si>
  <si>
    <t>Leverantörens personal i servicedesken ska ha erfarenhet av att jobba med offererat system och har uppdaterad information om kundens IT-tjänst.</t>
  </si>
  <si>
    <t>7.8</t>
  </si>
  <si>
    <t>Test/Utbildning/Acceptans-miljö</t>
  </si>
  <si>
    <t>7.8.1</t>
  </si>
  <si>
    <t>Leverantören ska tillhandahålla minst en produktionsmiljö, utvecklingsmiljö och testmiljö.</t>
  </si>
  <si>
    <t>7.8.2</t>
  </si>
  <si>
    <t xml:space="preserve">Tjänsten ska innefatta möjligheten att testa funktionalitet, testa olika roller och hålla i utbildningar utan att behöva påverka produktionsmiljö genom tillgång till en så kallad Testmiljö och utbildningsmiljö. Testmiljön och utbildningsmiljön ska vara så identisk utifrån funktionalitet med produktionsmiljön som är praktiskt möjligt, inklusive gränssnitt och separerad från produktionsmiljön.
</t>
  </si>
  <si>
    <t>Summa Börkravsavdrag</t>
  </si>
  <si>
    <t>Tekniska</t>
  </si>
  <si>
    <t>8.1</t>
  </si>
  <si>
    <t>Roller och behörighet</t>
  </si>
  <si>
    <t>8.1.1</t>
  </si>
  <si>
    <r>
      <rPr>
        <sz val="11"/>
        <color rgb="FF000000"/>
        <rFont val="Calibri"/>
        <family val="2"/>
      </rPr>
      <t xml:space="preserve">Följande roller/antal bedöms för framtida användare i IT-tjänsten:
Användare (antal aktiva användare ca 70st)
</t>
    </r>
    <r>
      <rPr>
        <b/>
        <sz val="11"/>
        <color rgb="FF000000"/>
        <rFont val="Calibri"/>
        <family val="2"/>
      </rPr>
      <t xml:space="preserve">Exempel på interna roller:
</t>
    </r>
    <r>
      <rPr>
        <sz val="11"/>
        <color rgb="FF000000"/>
        <rFont val="Calibri"/>
        <family val="2"/>
      </rPr>
      <t xml:space="preserve">Systemadministratörer (4)
Ekonomiassistenter förvaltning
Ekonomiassistenter centralt
Ekonom/controller förvaltning
Ekonom/controller centralt
Handläggare
</t>
    </r>
    <r>
      <rPr>
        <b/>
        <sz val="11"/>
        <color rgb="FF000000"/>
        <rFont val="Calibri"/>
        <family val="2"/>
      </rPr>
      <t xml:space="preserve">Exempel på externa roller:
</t>
    </r>
    <r>
      <rPr>
        <sz val="11"/>
        <color rgb="FF000000"/>
        <rFont val="Calibri"/>
        <family val="2"/>
      </rPr>
      <t xml:space="preserve">Revisorer
Applikationskonsulter, utöver leverantörens egna konsulter
</t>
    </r>
  </si>
  <si>
    <t>8.1.2</t>
  </si>
  <si>
    <t xml:space="preserve">IT-tjänsten ska minst klara angivet användarantal.  </t>
  </si>
  <si>
    <t>8.1.3</t>
  </si>
  <si>
    <t>IT-tjänsten ska möjliggöra att under avtalstiden utöka med fler användare. </t>
  </si>
  <si>
    <t>8.2</t>
  </si>
  <si>
    <t>Systemadministration och behörighet</t>
  </si>
  <si>
    <t>8.2.1</t>
  </si>
  <si>
    <t>IT-tjänsten ska vara rollbaserad där olika roller ger olika behörighetsnivåer i IT-tjänsten.</t>
  </si>
  <si>
    <t>8.2.2</t>
  </si>
  <si>
    <t>Det ska gå att lägga till och bygga nya roller i IT-tjänsten. </t>
  </si>
  <si>
    <t>8.2.3</t>
  </si>
  <si>
    <t>Systemadministratören ska ha tillgång till att administrera IT-tjänsten. Systemadministratören ska ha tillgång till att skapa, ändra och radera IT-tjänstens användare och grupper. </t>
  </si>
  <si>
    <t>8.2.4</t>
  </si>
  <si>
    <t>Systemadministratören ska styra behörigheter (Som minst - läsa-, skriva-, uppdatera- och radera-behörigheter) för funktioner, moduler/processer och data så att respektive roll erhåller rätt behörighet.</t>
  </si>
  <si>
    <t>8.2.5</t>
  </si>
  <si>
    <t>Systemadministratör i Huddinge kommun ska ha tillgång att styra åtkomst till systemfunktioner samt av vilka användare de kan användas av. </t>
  </si>
  <si>
    <t>8.2.6</t>
  </si>
  <si>
    <t>En systemadministratör ska inte själv ha tillgång till att utöka sina egna behörigheter eller rättigheter. </t>
  </si>
  <si>
    <t>8.2.7</t>
  </si>
  <si>
    <t>Systemet ska ha funktion för att visa en översikt över roller och behörigheter i systemet, så att man enkelt kan se vilka grupper/personer som har vilka behörigheter</t>
  </si>
  <si>
    <t>8.2.8</t>
  </si>
  <si>
    <t>IT-tjänsten ska ha funktion för att utföra händelser enligt definierat tidsintervall</t>
  </si>
  <si>
    <t>8.2.9</t>
  </si>
  <si>
    <t>IT-tjänsten ska ha funktion att stänga/öppna bokföringsperioder manuellt och per automatik.</t>
  </si>
  <si>
    <t>8.3</t>
  </si>
  <si>
    <t>Integrationer</t>
  </si>
  <si>
    <t>8.3.1</t>
  </si>
  <si>
    <t>IT-tjänsten ska vara möjlig att integrera med andra verksamhetssystem genom väldokumenterade API:er</t>
  </si>
  <si>
    <t>8.3.2</t>
  </si>
  <si>
    <t>API:erna ska vara exponerade på ett sätt som möjliggör icke komplex integrering. </t>
  </si>
  <si>
    <t>8.3.3</t>
  </si>
  <si>
    <r>
      <t xml:space="preserve">Integrationer ska vara möjlig att hanteras med Beställarens integrationsplattformar.
Se bilaga 8– </t>
    </r>
    <r>
      <rPr>
        <i/>
        <sz val="11"/>
        <rFont val="Calibri"/>
        <family val="2"/>
        <scheme val="minor"/>
      </rPr>
      <t>Beskrivning IT-miljö.</t>
    </r>
  </si>
  <si>
    <t>8.3.4</t>
  </si>
  <si>
    <r>
      <t xml:space="preserve">IT-tjänsten ska kunna integreras med Beställarens e-tjänsteplattform.
Se bilaga 8 – </t>
    </r>
    <r>
      <rPr>
        <i/>
        <sz val="11"/>
        <rFont val="Calibri"/>
        <family val="2"/>
        <scheme val="minor"/>
      </rPr>
      <t>Beskrivning IT-miljö.</t>
    </r>
  </si>
  <si>
    <t>8.3.5</t>
  </si>
  <si>
    <r>
      <t xml:space="preserve">IT-Tjänsten ska kunna integrera med Beställarens mailtjänst/E-post integration
Se bilaga 8– </t>
    </r>
    <r>
      <rPr>
        <i/>
        <sz val="11"/>
        <rFont val="Calibri"/>
        <family val="2"/>
        <scheme val="minor"/>
      </rPr>
      <t>Beskrivning IT-miljö.</t>
    </r>
  </si>
  <si>
    <t>8.3.6</t>
  </si>
  <si>
    <t>IT-tjänsten ska kunna intregrera med komunens framtida-verktyg för logg och sårbarhetsanalys.</t>
  </si>
  <si>
    <t>8.3.7</t>
  </si>
  <si>
    <t>Leverantör ska på begäran kunna presentera en API-vy som tillhandahåller nödvändiga datamängder/informationsmängder för att Beställaren ska kunna bygga en fakturaportal för kundfakturor där kund ska kunna: se faktura, se status på faktura och kunna betala faktura.
Arbete med att ta fram API-vyn ska påbörjas senast 60 dagar efter kunds begäran/beställning, därefter tar Beställaren tillsammans med leverantör fram nödvändiga detaljer för det fortsatta arbetet i form av en inledande förstudie.</t>
  </si>
  <si>
    <t>8.3.8</t>
  </si>
  <si>
    <t>Integrationer ska utgöra en väl fungerande helhet där systemen ska fungera tillsammans utan onödig manuell hantering. Information ska registreras på ett ställe och utbytas automatiskt mellan systemen via integrationer. </t>
  </si>
  <si>
    <t>8.3.9</t>
  </si>
  <si>
    <t>Data som Beställaren registrerat via manuell inmatning eller via integration i IT-tjänsten ska genom API’er kunna läsas, skrivas, uppdateras och raderas.</t>
  </si>
  <si>
    <t>8.3.10</t>
  </si>
  <si>
    <t>Inläsning av data ska kunna verifieras både utifrån innehåll och format.
Fel som uppstår vid inläsning ska synliggöras i gränssnitt.</t>
  </si>
  <si>
    <t>8.3.11</t>
  </si>
  <si>
    <t>IT-tjänsten ska ha gränssnitt som visar: 
- Status
- Resultat
- Felmeddelande
- Felkälla
- Felorsak</t>
  </si>
  <si>
    <t>8.3.12</t>
  </si>
  <si>
    <t xml:space="preserve">IT-tjänsten ska ha gränssnitt för Systemadministratörer, Ekonomiassistenter centralt, Ekonom/controller centralt som för respektive integration visar:
-nivå av allvarlighetsgrad.
</t>
  </si>
  <si>
    <t>8.3.13</t>
  </si>
  <si>
    <t xml:space="preserve">Beställaren ska ha egen möjlighet att själv kunna ändra/komplettera och lägga till integrationer under hela avtalstiden. </t>
  </si>
  <si>
    <t>8.3.14</t>
  </si>
  <si>
    <t>Det bör inte krävas någon handpåläggning från leverantörens sida vid integrationsuppsättning</t>
  </si>
  <si>
    <t>8.3.15</t>
  </si>
  <si>
    <r>
      <t xml:space="preserve">Detta avser option som Beställaren har rätt (dock inte skyldighet)att nyttja under avtalsperioden.
Om Beställaren så begär, ska Leverantören inom 30 dagar påbörja arbete med övergång från filöverföring till API för de system som är markerade med </t>
    </r>
    <r>
      <rPr>
        <i/>
        <sz val="11"/>
        <rFont val="Calibri"/>
        <family val="2"/>
        <scheme val="minor"/>
      </rPr>
      <t>API</t>
    </r>
    <r>
      <rPr>
        <sz val="11"/>
        <rFont val="Calibri"/>
        <family val="2"/>
        <scheme val="minor"/>
      </rPr>
      <t xml:space="preserve"> i kolumn I i Bilaga 17 – </t>
    </r>
    <r>
      <rPr>
        <i/>
        <sz val="11"/>
        <rFont val="Calibri"/>
        <family val="2"/>
        <scheme val="minor"/>
      </rPr>
      <t>Initiala integrationer Huddinge,</t>
    </r>
    <r>
      <rPr>
        <sz val="11"/>
        <rFont val="Calibri"/>
        <family val="2"/>
        <scheme val="minor"/>
      </rPr>
      <t xml:space="preserve"> förutsatt att respektive motpart/systemleverantör har förutsättningar för API-integration.
Leverantören ska delta aktivt i framtagande av kravspecifikation och realisering för respektive integration Detta genomförs inom ramen av ett separat beställt konsultuppdrag till de timpriser som gäller för konsult enligt  p.3.1-3.2 i flik "Pris".</t>
    </r>
  </si>
  <si>
    <t>OPTION</t>
  </si>
  <si>
    <t>8.4</t>
  </si>
  <si>
    <t>Initiala integrationer</t>
  </si>
  <si>
    <t>8.4.1</t>
  </si>
  <si>
    <t>8.5</t>
  </si>
  <si>
    <t>Import/Export</t>
  </si>
  <si>
    <t>8.5.1</t>
  </si>
  <si>
    <t>IT-tjänsten ska validera importerade filer/data på samma sätt som manuellt registrerat Data.</t>
  </si>
  <si>
    <t>8.5.2</t>
  </si>
  <si>
    <t>IT-tjänsten ska inom varje modul/process ha stöd för att importera och exportera filer i excel, csv, txt, xml, json, pdf m.fl.</t>
  </si>
  <si>
    <t>8.5.3</t>
  </si>
  <si>
    <t>IT-tjänsten ska ha stöd för att importera och exportera filer i SIE-format och liknande.</t>
  </si>
  <si>
    <t>8.6</t>
  </si>
  <si>
    <t>IAM (identitet och åtkomst)</t>
  </si>
  <si>
    <t>8.6.1</t>
  </si>
  <si>
    <t>Användaridentitet ska provisioneras och uppdateras löpande direkt eller indirekt från Beställarens metakatalog. Provisionering ska ske enligt någon av de tekniker som beskrivs i Bilaga IT-miljö (se Bilaga Beskrivning IT-miljö för info om Provisionering användaridentitet )</t>
  </si>
  <si>
    <t>8.6.2</t>
  </si>
  <si>
    <t>Användarkonton ska inaktiveras automatiskt när en användare avslutar sin anställning via Beställarens metakatalog. </t>
  </si>
  <si>
    <t>8.7</t>
  </si>
  <si>
    <t>Inloggning och autentisiering</t>
  </si>
  <si>
    <t>8.7.1</t>
  </si>
  <si>
    <r>
      <t xml:space="preserve">Alla användare ska autentiseras mot Beställarens IDP.
Se bilaga 8 – </t>
    </r>
    <r>
      <rPr>
        <i/>
        <sz val="11"/>
        <rFont val="Calibri"/>
        <family val="2"/>
        <scheme val="minor"/>
      </rPr>
      <t>Beskrivning IT-miljö</t>
    </r>
    <r>
      <rPr>
        <sz val="11"/>
        <rFont val="Calibri"/>
        <family val="2"/>
        <scheme val="minor"/>
      </rPr>
      <t>. </t>
    </r>
  </si>
  <si>
    <t>8.7.2</t>
  </si>
  <si>
    <r>
      <t xml:space="preserve">IT-tjänsten ska ha stöd för inloggning med de autentiseringsmetoder som tillåts av Beställarens IDP. 
Se bilaga 8 – </t>
    </r>
    <r>
      <rPr>
        <i/>
        <sz val="11"/>
        <rFont val="Calibri"/>
        <family val="2"/>
        <scheme val="minor"/>
      </rPr>
      <t>Beskrivning IT-miljö</t>
    </r>
    <r>
      <rPr>
        <sz val="11"/>
        <rFont val="Calibri"/>
        <family val="2"/>
        <scheme val="minor"/>
      </rPr>
      <t>.</t>
    </r>
  </si>
  <si>
    <t>8.7.3</t>
  </si>
  <si>
    <t>Inloggning ska ske genom tvåfaktorsinloggning för samtliga roller. </t>
  </si>
  <si>
    <t>8.7.4</t>
  </si>
  <si>
    <t>Varje användare ska ha ett unikt individuellt användarkonto (identitet) för att säkerställa att endast behöriga användare har tillgång till IT-tjänsten. </t>
  </si>
  <si>
    <t>8.7.5</t>
  </si>
  <si>
    <t>Användare ska bli automatiskt nedkopplade/utloggade efter viss tids inaktivitet. </t>
  </si>
  <si>
    <t>8.7.6</t>
  </si>
  <si>
    <t>Vid utloggning ska all behörighets- och sessionsinformation som lagras i t.ex. temporära filer i användarens dator rensas. Användaren ska själv erbjudas valet att aktivt avsluta sessionen. </t>
  </si>
  <si>
    <t>8.7.7</t>
  </si>
  <si>
    <r>
      <t>Automatisk låsning av IT-tjänsten ska ske efter</t>
    </r>
    <r>
      <rPr>
        <sz val="11"/>
        <color rgb="FF0070C0"/>
        <rFont val="Calibri"/>
        <family val="2"/>
        <scheme val="minor"/>
      </rPr>
      <t xml:space="preserve"> </t>
    </r>
    <r>
      <rPr>
        <sz val="11"/>
        <rFont val="Calibri"/>
        <family val="2"/>
        <scheme val="minor"/>
      </rPr>
      <t>20</t>
    </r>
    <r>
      <rPr>
        <sz val="11"/>
        <color rgb="FF0070C0"/>
        <rFont val="Calibri"/>
        <family val="2"/>
        <scheme val="minor"/>
      </rPr>
      <t xml:space="preserve"> </t>
    </r>
    <r>
      <rPr>
        <sz val="11"/>
        <rFont val="Calibri"/>
        <family val="2"/>
        <scheme val="minor"/>
      </rPr>
      <t>misslyckade inloggningsförsök. Systemadministratör ska kunna låsa upp. </t>
    </r>
  </si>
  <si>
    <t>8.7.8</t>
  </si>
  <si>
    <t>När person avslutar sin anställning hos Beställaren ska kontot och användardata tas bort från IT-tjänsten enligt GDPR, om inga andra lagkrav ställs. </t>
  </si>
  <si>
    <t>8.8</t>
  </si>
  <si>
    <t>Kommunikation</t>
  </si>
  <si>
    <t>8.8.1</t>
  </si>
  <si>
    <t>IT-tjänsten ska kommunicera krypterat (HTTPS eller TLS) </t>
  </si>
  <si>
    <t>8.8.2</t>
  </si>
  <si>
    <t>Certifikat till all kryptering ska tillhandahållas av leverantören om inte annat överenskommes. </t>
  </si>
  <si>
    <t>8.8.3</t>
  </si>
  <si>
    <t>IT-tjänsten ska ha stöd för tidssynkronisering med Network Time Protocol (NTP) </t>
  </si>
  <si>
    <t>8.8.4</t>
  </si>
  <si>
    <t>Namnuppslagning ska hanteras med secure DNS (Domain Name System) </t>
  </si>
  <si>
    <t>8.8.5</t>
  </si>
  <si>
    <t>IT-tjänsten ska stödja HTML 5 </t>
  </si>
  <si>
    <t>8.8.6</t>
  </si>
  <si>
    <t>IT-tjänsten ska stödja TCP IPv4 </t>
  </si>
  <si>
    <t>8.8.7</t>
  </si>
  <si>
    <t>IT-tjänsten ska kunna klara övergång till TCP IPv6. </t>
  </si>
  <si>
    <t>8.9</t>
  </si>
  <si>
    <t>Tillgång till IT-tjänsten</t>
  </si>
  <si>
    <t>8.9.1</t>
  </si>
  <si>
    <t>IT-tjänsten ska vara webbaserad.</t>
  </si>
  <si>
    <t>8.9.2</t>
  </si>
  <si>
    <t>IT-tjänsten ska ha responsiv design</t>
  </si>
  <si>
    <t>8.9.3</t>
  </si>
  <si>
    <t>8.9.4</t>
  </si>
  <si>
    <t>IT-tjänsten ska ha full funktionalitet utan lokal programinstallation eller användning av insticksprogram för alla standard- och sällananvändare</t>
  </si>
  <si>
    <t>8.9.5</t>
  </si>
  <si>
    <t>Om behov av klient krävs för systemadministration ska denna del kunna hanteras genom fjärruppkoppling som leverantören ansvar för – Citrix eller dyligt med samma krav på authentisering</t>
  </si>
  <si>
    <t>8.10</t>
  </si>
  <si>
    <t>Samverkan med Huddinge kommuns tekninska miljö</t>
  </si>
  <si>
    <t>8.10.1</t>
  </si>
  <si>
    <r>
      <t xml:space="preserve">IT-tjänsten ska vara kompatibel med Huddinge kommuns IT-infrastruktur. Huddinge kommuns tekniska miljö framgår av Bilaga 8 - </t>
    </r>
    <r>
      <rPr>
        <i/>
        <sz val="11"/>
        <rFont val="Calibri"/>
        <family val="2"/>
        <scheme val="minor"/>
      </rPr>
      <t>Beskrivning IT-miljö</t>
    </r>
    <r>
      <rPr>
        <sz val="11"/>
        <rFont val="Calibri"/>
        <family val="2"/>
        <scheme val="minor"/>
      </rPr>
      <t>. </t>
    </r>
  </si>
  <si>
    <t>8.10.2</t>
  </si>
  <si>
    <t>Efter ett införande ska IT-tjänsten löpande anpassas för att fungera med nya versioner på enheter av komponenter, säkerhetsuppdateringar, patchar, servicepack till operativsystemet m.m. enligt gällande standard från Microsoft och andra större komponentleverantörer. Detta ska uppfyllas inom 6 månader från det att säkerhetsuppdateringar, patchar m.m. släpps från exempelvis Microsoft.  </t>
  </si>
  <si>
    <t>8.11</t>
  </si>
  <si>
    <t>Underhåll och utveckling</t>
  </si>
  <si>
    <t>8.11.1</t>
  </si>
  <si>
    <t>Återkommande uppdateringar av IT-tjänsten ska ingå.   </t>
  </si>
  <si>
    <t>8.11.2</t>
  </si>
  <si>
    <t>Leverantören ska bedriva ett kontinuerligt vidareutvecklingsarbete för IT-tjänsten.  </t>
  </si>
  <si>
    <t>8.11.3</t>
  </si>
  <si>
    <t>Leverantören ska ha en inarbetad change management. </t>
  </si>
  <si>
    <t>8.11.4</t>
  </si>
  <si>
    <t>Information från Leverantören sker med god framförhållning vid underhåll av tjänsten. </t>
  </si>
  <si>
    <t>8.11.5</t>
  </si>
  <si>
    <t>Leverantören ska skriftligen informera användaren om vilka förändringar som avses göras inför en uppdatering av IT-tjänsten samt förklara vad förändringarna innebär.  </t>
  </si>
  <si>
    <t>8.11.6</t>
  </si>
  <si>
    <t>Leverantören ska testa uppdateringar av IT-tjänsten innan dessa tillgängliggörs.</t>
  </si>
  <si>
    <t>8.12</t>
  </si>
  <si>
    <t>AI</t>
  </si>
  <si>
    <t>8.12.1</t>
  </si>
  <si>
    <t>Beställaren ska kunna ta del av funktioner för Generativ AI, Maskininlärning, Djupinlärning om dessa erbjuder mervärde till Beställaren</t>
  </si>
  <si>
    <t>För ovansående funktioner/metoder (krav 8.12.1) ska IT-tjänsten ha funktion för att kunna särskilja av Beställaren sekretessmarkerad data och känsliga personuppgifter från övrig information innan information bearbetas</t>
  </si>
  <si>
    <t>8.12.3</t>
  </si>
  <si>
    <t>Om behandling sker i 3:e land eller publik molntjänst ska informationen först särskiljas enligt krav 8.12.2</t>
  </si>
  <si>
    <t>Summa Börkravspoäng</t>
  </si>
  <si>
    <t>Övriga krav</t>
  </si>
  <si>
    <t>Riktlinjer webbtillgänglighet</t>
  </si>
  <si>
    <t>IT-tjänstens publika delar ska uppfylla krav på tillgänglighet enligt den harmoniserade europeiska standarden EN 301 549. Detta innebär att webbplatser och appar ska uppnå åtminstone nivå AA i version 2.1 av WCAG. Detta uppfylls genom att IT-tjänsten följer Myndigheten för digital förvaltnings (DIGG) vägledning för webbutveckling (anvisningarna som anges på http://www.webbriktlinjer.se).
Ifylld checklista (https://webbriktlinjer.se/wcag/?checklista) samt en plan för åtgärdande av eventuella restpunkter ska redovisas på begäran.</t>
  </si>
  <si>
    <t>Arkivering och gallring</t>
  </si>
  <si>
    <t>I IT-tjänsten ska det vara möjligt att skilja på information som ska bevaras från information som ska gallras.</t>
  </si>
  <si>
    <t>Teknisk funktion för gallring ska finnas i IT-tjänsten.</t>
  </si>
  <si>
    <t>Gallring ska på Beställarens begäran kunna utföras i IT-tjänsten i enlighet med gallringsfrister som anges i gallringsbeslut. Gallringsfrister ska kunna ändras.</t>
  </si>
  <si>
    <t>Planerad gallring ska dokumenteras i drifts- och förvaltningsplaner. </t>
  </si>
  <si>
    <t>Föreskriven eller av Beställaren beslutad gallring (förstörande) av Beställarens information ska utan omfattande åtgärder kunna utföras vid valfri tidpunkt. </t>
  </si>
  <si>
    <t xml:space="preserve">Resultat av begärd gallring ska kunna kontrolleras innan den utförs. </t>
  </si>
  <si>
    <t>Gallring i IT-stödet ska inte ske om det medför risk för informationsförlust i handlingar som ska bevaras.</t>
  </si>
  <si>
    <t>9.2.9</t>
  </si>
  <si>
    <t>Informationen ska fortlöpande (och vid valfri tidpunkt) kunna överföras till Beställarens e-arkiv enligt de tekniska krav som framgår av Riksarkivets författningssamling.</t>
  </si>
  <si>
    <t>9.2.10</t>
  </si>
  <si>
    <t>Informationen ska exporteras i en standardiserad paketstruktur, tex enligt Riksarkivets FGS eller likvärdig paketstruktur.</t>
  </si>
  <si>
    <t>9.2.11</t>
  </si>
  <si>
    <t>Export av Beställarens information ska inte medföra några tilläggskostnader för speciella exportverktyg, moduler eller liknande.</t>
  </si>
  <si>
    <t>9.2.12</t>
  </si>
  <si>
    <t>IT-tjänsten ska ha funktion för digital arkivering av utfärdade kundfakturor samt för bokföringsunderlag för verifikationer</t>
  </si>
  <si>
    <t>Prispost</t>
  </si>
  <si>
    <t>Prisspecifikation enligt
Bilaga Priser och betalning</t>
  </si>
  <si>
    <t>Specifikation (inklusive dock inte begränsat till) dessa krav och villkor</t>
  </si>
  <si>
    <t>Antal</t>
  </si>
  <si>
    <t>Enhet</t>
  </si>
  <si>
    <t>Pris</t>
  </si>
  <si>
    <t>Totalt</t>
  </si>
  <si>
    <t>Införande (grundutförande)</t>
  </si>
  <si>
    <r>
      <t>enligt krav på införande enligt flik 7 "Införande och förvaltning",</t>
    </r>
    <r>
      <rPr>
        <sz val="10"/>
        <color rgb="FFFF0000"/>
        <rFont val="Arial"/>
        <family val="2"/>
      </rPr>
      <t xml:space="preserve"> </t>
    </r>
    <r>
      <rPr>
        <sz val="10"/>
        <color theme="1"/>
        <rFont val="Arial"/>
        <family val="2"/>
      </rPr>
      <t xml:space="preserve">Bilaga </t>
    </r>
    <r>
      <rPr>
        <i/>
        <sz val="11"/>
        <color theme="1"/>
        <rFont val="Calibri"/>
        <family val="2"/>
        <scheme val="minor"/>
      </rPr>
      <t>Förslag på införandeplan</t>
    </r>
    <r>
      <rPr>
        <sz val="10"/>
        <rFont val="Arial"/>
        <family val="2"/>
      </rPr>
      <t xml:space="preserve">
samt p. 4 Avtal</t>
    </r>
  </si>
  <si>
    <t>styck</t>
  </si>
  <si>
    <t>IT-tjänst (grundutförande)</t>
  </si>
  <si>
    <t>Samtliga upphandlingsdokument, se Kravspecifikation, Avtal, SLA, m.fl.</t>
  </si>
  <si>
    <t>år</t>
  </si>
  <si>
    <t>Konsulttimmar, utöver införande (avseende utveckling, inkl. ev. framtida tillkommande optioner/integrationer, o.dyl.), för uppdrag som understiger 25 timmar eller de första 25 timmarna av respektive konsultuppdrag</t>
  </si>
  <si>
    <r>
      <t xml:space="preserve">enligt </t>
    </r>
    <r>
      <rPr>
        <sz val="11"/>
        <rFont val="Arial"/>
        <family val="2"/>
      </rPr>
      <t>p.7.4.6-7.4.10</t>
    </r>
    <r>
      <rPr>
        <sz val="10"/>
        <rFont val="Arial"/>
        <family val="2"/>
      </rPr>
      <t xml:space="preserve"> flik "Införande och förvaltning",  </t>
    </r>
    <r>
      <rPr>
        <sz val="11"/>
        <rFont val="Arial"/>
        <family val="2"/>
      </rPr>
      <t xml:space="preserve">p.8.3.18 </t>
    </r>
    <r>
      <rPr>
        <sz val="10"/>
        <rFont val="Arial"/>
        <family val="2"/>
      </rPr>
      <t xml:space="preserve">flik 8 </t>
    </r>
    <r>
      <rPr>
        <sz val="11"/>
        <rFont val="Arial"/>
        <family val="2"/>
      </rPr>
      <t>"Tekniska krav"</t>
    </r>
  </si>
  <si>
    <t>tim</t>
  </si>
  <si>
    <t>Konsulttimmar, utöver införande (avseende utveckling, inkl. ev. framtida tillkommande optioner/integrationer, o.dyl.), fr.o.m. den 25:e timmen inom ett specifikt konsultuppdrag</t>
  </si>
  <si>
    <t>Utbildning till systemadminstratörer (utöver utbildning under införande), heldag</t>
  </si>
  <si>
    <r>
      <t xml:space="preserve">enligt </t>
    </r>
    <r>
      <rPr>
        <sz val="11"/>
        <rFont val="Arial"/>
        <family val="2"/>
      </rPr>
      <t>p.7.2.2-7.2.3 samt 7.2.5-7-2-7</t>
    </r>
    <r>
      <rPr>
        <sz val="10"/>
        <rFont val="Arial"/>
        <family val="2"/>
      </rPr>
      <t xml:space="preserve"> flik "Införande och förvaltning",</t>
    </r>
  </si>
  <si>
    <t>Utbildning till slutanvändare (utöver utbildning under införande), heldag</t>
  </si>
  <si>
    <t>Anbussumma:</t>
  </si>
  <si>
    <t xml:space="preserve">Potential för IT-tjänstens agilitet   kommer att utvärderas av Beställaren i enhlighet med  'Anbudsinbjudan' p.3.3.2.4
</t>
  </si>
  <si>
    <t>Bedömning/poäng</t>
  </si>
  <si>
    <t>Beställarens kommentar</t>
  </si>
  <si>
    <t>Prisavdrag</t>
  </si>
  <si>
    <t>G</t>
  </si>
  <si>
    <t>Sammanlagd bedömning av agilitet utifrån Förslag på tjänstens genomförande</t>
  </si>
  <si>
    <t xml:space="preserve">VG </t>
  </si>
  <si>
    <t>MVG</t>
  </si>
  <si>
    <t>Bedömningen görs av Beställarens utvärderingsgrupp genom att tillämpa bedömningskriterierna och betygsskalan till  den av anbudsgivaren ifylld Bilaga 15 Beskrivning av Agilitet</t>
  </si>
  <si>
    <t xml:space="preserve">Användbarhet  kommer att utvärderas av Beställaren i enhlighet med  'Anbudsinbjudan' p.3.3.2.2
.
</t>
  </si>
  <si>
    <t>Medelbetyg räknas fram  utifrån de betyg de sätts i Bilaga 16 Utvärderingsscenarier Användbarhet</t>
  </si>
  <si>
    <t>Respektive medelbetyg räknas fram och anges nedan av Beställaren, med två (2) decimaler</t>
  </si>
  <si>
    <t>Scenario</t>
  </si>
  <si>
    <t>Medelbetyg</t>
  </si>
  <si>
    <r>
      <rPr>
        <sz val="11"/>
        <color theme="1"/>
        <rFont val="Calibri"/>
        <family val="2"/>
        <scheme val="minor"/>
      </rPr>
      <t>Allmänt</t>
    </r>
    <r>
      <rPr>
        <sz val="10"/>
        <rFont val="Arial"/>
        <family val="2"/>
      </rPr>
      <t xml:space="preserve">
</t>
    </r>
  </si>
  <si>
    <t xml:space="preserve">Dynamiska sökningar
</t>
  </si>
  <si>
    <t xml:space="preserve">Perioder
</t>
  </si>
  <si>
    <t xml:space="preserve">Kontoplan och regler kopplat till våra konteringsdimensioner
</t>
  </si>
  <si>
    <t xml:space="preserve">Demostrera vilka möjligheter det finns i systemet för att sätta upp sambandskontroller
</t>
  </si>
  <si>
    <t xml:space="preserve">Bokföringorder
</t>
  </si>
  <si>
    <t xml:space="preserve">Periodisering
</t>
  </si>
  <si>
    <t>2.6</t>
  </si>
  <si>
    <t xml:space="preserve">Trigger/automatisk (Samtliga koddelar)
</t>
  </si>
  <si>
    <t xml:space="preserve">Registrering av ny kund
</t>
  </si>
  <si>
    <t xml:space="preserve">Abonnemang
</t>
  </si>
  <si>
    <r>
      <rPr>
        <sz val="11"/>
        <color theme="1"/>
        <rFont val="Calibri"/>
        <family val="2"/>
        <scheme val="minor"/>
      </rPr>
      <t>Fakturering</t>
    </r>
    <r>
      <rPr>
        <sz val="10"/>
        <rFont val="Arial"/>
        <family val="2"/>
      </rPr>
      <t xml:space="preserve">
</t>
    </r>
  </si>
  <si>
    <t xml:space="preserve">Inbetalningar
</t>
  </si>
  <si>
    <t>3.5</t>
  </si>
  <si>
    <t xml:space="preserve">Avskrivning och nedskrivning av konstaterad kundförlust
</t>
  </si>
  <si>
    <t>3.6</t>
  </si>
  <si>
    <t xml:space="preserve">Kravhantering
</t>
  </si>
  <si>
    <t>3.7</t>
  </si>
  <si>
    <r>
      <rPr>
        <sz val="11"/>
        <color theme="1"/>
        <rFont val="Calibri"/>
        <family val="2"/>
        <scheme val="minor"/>
      </rPr>
      <t>Utbetalning av kredit/tillgodosaldo</t>
    </r>
    <r>
      <rPr>
        <sz val="10"/>
        <rFont val="Arial"/>
        <family val="2"/>
      </rPr>
      <t xml:space="preserve">
</t>
    </r>
  </si>
  <si>
    <t xml:space="preserve">Leverantörsupplägg
</t>
  </si>
  <si>
    <r>
      <rPr>
        <sz val="11"/>
        <color theme="1"/>
        <rFont val="Calibri"/>
        <family val="2"/>
        <scheme val="minor"/>
      </rPr>
      <t>Skapa betalfil</t>
    </r>
    <r>
      <rPr>
        <sz val="10"/>
        <rFont val="Arial"/>
        <family val="2"/>
      </rPr>
      <t xml:space="preserve">
</t>
    </r>
  </si>
  <si>
    <r>
      <rPr>
        <sz val="11"/>
        <color theme="1"/>
        <rFont val="Calibri"/>
        <family val="2"/>
        <scheme val="minor"/>
      </rPr>
      <t>Definitivbokförd faktura</t>
    </r>
    <r>
      <rPr>
        <sz val="10"/>
        <rFont val="Arial"/>
        <family val="2"/>
      </rPr>
      <t xml:space="preserve">
</t>
    </r>
  </si>
  <si>
    <t xml:space="preserve">Skapa anläggning
</t>
  </si>
  <si>
    <t xml:space="preserve">Avskrivning av anläggning
</t>
  </si>
  <si>
    <t xml:space="preserve">Finansiell leasing
</t>
  </si>
  <si>
    <t>5.4</t>
  </si>
  <si>
    <t xml:space="preserve">Ändring på anläggning
</t>
  </si>
  <si>
    <t>5.5</t>
  </si>
  <si>
    <t xml:space="preserve">Avstämningar
</t>
  </si>
  <si>
    <t>5.6</t>
  </si>
  <si>
    <t xml:space="preserve">Utrangering/Nedskrivning/försäljning
</t>
  </si>
  <si>
    <r>
      <rPr>
        <sz val="11"/>
        <color rgb="FF000000"/>
        <rFont val="Calibri"/>
        <family val="2"/>
        <scheme val="minor"/>
      </rPr>
      <t xml:space="preserve">Nytt projekt
</t>
    </r>
  </si>
  <si>
    <r>
      <rPr>
        <sz val="11"/>
        <color theme="1"/>
        <rFont val="Calibri"/>
        <family val="2"/>
        <scheme val="minor"/>
      </rPr>
      <t>Aktivering</t>
    </r>
    <r>
      <rPr>
        <sz val="10"/>
        <rFont val="Arial"/>
        <family val="2"/>
      </rPr>
      <t xml:space="preserve">
</t>
    </r>
  </si>
  <si>
    <r>
      <rPr>
        <sz val="11"/>
        <color rgb="FF000000"/>
        <rFont val="Calibri"/>
        <family val="2"/>
        <scheme val="minor"/>
      </rPr>
      <t xml:space="preserve">Användare
</t>
    </r>
  </si>
  <si>
    <r>
      <rPr>
        <sz val="11"/>
        <color theme="1"/>
        <rFont val="Calibri"/>
        <family val="2"/>
        <scheme val="minor"/>
      </rPr>
      <t>Användarregister</t>
    </r>
    <r>
      <rPr>
        <sz val="10"/>
        <rFont val="Arial"/>
        <family val="2"/>
      </rPr>
      <t xml:space="preserve">
</t>
    </r>
  </si>
  <si>
    <t xml:space="preserve">Integration/felrapporter
</t>
  </si>
  <si>
    <t xml:space="preserve">Dokumentarkiv
</t>
  </si>
  <si>
    <t xml:space="preserve">Import/Export
</t>
  </si>
  <si>
    <r>
      <rPr>
        <sz val="11"/>
        <color theme="1"/>
        <rFont val="Calibri"/>
        <family val="2"/>
        <scheme val="minor"/>
      </rPr>
      <t>Händelseloggar</t>
    </r>
    <r>
      <rPr>
        <sz val="10"/>
        <rFont val="Arial"/>
        <family val="2"/>
      </rPr>
      <t xml:space="preserve">
</t>
    </r>
  </si>
  <si>
    <t>Summa poäng användbarhet:</t>
  </si>
  <si>
    <t xml:space="preserve">Förutsättningar för smidigt och effektivt införande  kommer att utvärderas av Beställaren i enhlighet med  'Anbudsinbjudan' p.3.3.2.3
</t>
  </si>
  <si>
    <t>Beställarens kommentar/motivering</t>
  </si>
  <si>
    <t>Sammanlagd bedömning av förslag på tjänstens införandeplan</t>
  </si>
  <si>
    <t>Bedömningen görs av Beställarens utvärderingsgrupp genom att tillämpa bedömningskriterierna och betygsskalan till  den av anbudsgivaren ifylld Bilaga 14 Förslag på införandeplan</t>
  </si>
  <si>
    <t xml:space="preserve">Jämförelsesumma beräknas i enlighet med  'Anbudsinbjudan' p.3.4
</t>
  </si>
  <si>
    <t>Anbudssumma</t>
  </si>
  <si>
    <t>maximalt möljigt avdrag kvalitet</t>
  </si>
  <si>
    <t>Maximalt antal poäng/högst betyg</t>
  </si>
  <si>
    <t>Uppnått anta poäng/betyg</t>
  </si>
  <si>
    <t>avdrag agilitet</t>
  </si>
  <si>
    <t>avdrag införande</t>
  </si>
  <si>
    <t>avdrag användbarhet</t>
  </si>
  <si>
    <t>Jämförelsesumma</t>
  </si>
  <si>
    <r>
      <t xml:space="preserve">Leverantören ska tillhandahålla servicenivåer i enlighet med vad som anges i Bilaga 6 - </t>
    </r>
    <r>
      <rPr>
        <i/>
        <sz val="10"/>
        <rFont val="Calibri"/>
        <family val="2"/>
        <scheme val="minor"/>
      </rPr>
      <t>Servicenivåavtal (SLA)</t>
    </r>
    <r>
      <rPr>
        <sz val="10"/>
        <rFont val="Calibri"/>
        <family val="2"/>
        <scheme val="minor"/>
      </rPr>
      <t> exklusive Innehåll i Tabell 2 Åtgärdstider stycke 2 och stycke 3 Tillgänglighet, krav kring dessa se 7.7.1.a-.7.7.1.e</t>
    </r>
  </si>
  <si>
    <t xml:space="preserve">Ja, Användaren kan göra detta själv oavsett roll </t>
  </si>
  <si>
    <t>2.2.10</t>
  </si>
  <si>
    <t>2.5.14</t>
  </si>
  <si>
    <t>3.1.22</t>
  </si>
  <si>
    <t>3.1.23</t>
  </si>
  <si>
    <t>3.1.35</t>
  </si>
  <si>
    <t>ja, det går att anpassa delar av layouten</t>
  </si>
  <si>
    <t xml:space="preserve"> ja, allt går att anpassa</t>
  </si>
  <si>
    <t>4.5.10</t>
  </si>
  <si>
    <t>4.5.11</t>
  </si>
  <si>
    <t>4.5.12</t>
  </si>
  <si>
    <t>5.2.9</t>
  </si>
  <si>
    <r>
      <t xml:space="preserve">Leverantören ska tillhandahålla servicenivåer </t>
    </r>
    <r>
      <rPr>
        <u/>
        <sz val="10"/>
        <rFont val="Calibri"/>
        <family val="2"/>
        <scheme val="minor"/>
      </rPr>
      <t xml:space="preserve"> avseende åtgärdstid  och tillhörande vite efter åtgärdstid</t>
    </r>
    <r>
      <rPr>
        <sz val="10"/>
        <rFont val="Calibri"/>
        <family val="2"/>
        <scheme val="minor"/>
      </rPr>
      <t xml:space="preserve"> i enlighet med vad som anges i Bilaga 6 - Servicenivåavtal (SLA) stycke 2 tabell 2 Åtgärdstider Kategori </t>
    </r>
    <r>
      <rPr>
        <i/>
        <sz val="10"/>
        <rFont val="Calibri"/>
        <family val="2"/>
        <scheme val="minor"/>
      </rPr>
      <t>Kritisk</t>
    </r>
  </si>
  <si>
    <r>
      <t xml:space="preserve">Leverantören bör tillhandahålla servicenivåer </t>
    </r>
    <r>
      <rPr>
        <u/>
        <sz val="10"/>
        <rFont val="Calibri"/>
        <family val="2"/>
        <scheme val="minor"/>
      </rPr>
      <t>avseende åtgärdstid  och tillhörande vite efter åtgärdstid</t>
    </r>
    <r>
      <rPr>
        <sz val="10"/>
        <rFont val="Calibri"/>
        <family val="2"/>
        <scheme val="minor"/>
      </rPr>
      <t xml:space="preserve"> i enlighet med vad som anges i Bilaga 6 - Servicenivåavtal (SLA) stycke 2 tabell 2 Åtgärdstider Kategori </t>
    </r>
    <r>
      <rPr>
        <i/>
        <sz val="10"/>
        <rFont val="Calibri"/>
        <family val="2"/>
        <scheme val="minor"/>
      </rPr>
      <t>Hög</t>
    </r>
  </si>
  <si>
    <r>
      <t xml:space="preserve">
Leverantören bör tillhandahålla servicenivåer </t>
    </r>
    <r>
      <rPr>
        <u/>
        <sz val="10"/>
        <rFont val="Calibri"/>
        <family val="2"/>
        <scheme val="minor"/>
      </rPr>
      <t>avseende åtgärdstid  och tillhörande vite efter åtgärdstid</t>
    </r>
    <r>
      <rPr>
        <sz val="10"/>
        <rFont val="Calibri"/>
        <family val="2"/>
        <scheme val="minor"/>
      </rPr>
      <t xml:space="preserve"> i enlighet med vad som anges i Bilaga 6 - Servicenivåavtal (SLA) stycke 2 tabell 2 Åtgärdstider samt Viten Kategori </t>
    </r>
    <r>
      <rPr>
        <i/>
        <sz val="10"/>
        <rFont val="Calibri"/>
        <family val="2"/>
        <scheme val="minor"/>
      </rPr>
      <t>Medium</t>
    </r>
    <r>
      <rPr>
        <sz val="10"/>
        <rFont val="Calibri"/>
        <family val="2"/>
        <scheme val="minor"/>
      </rPr>
      <t xml:space="preserve">. </t>
    </r>
  </si>
  <si>
    <r>
      <t xml:space="preserve">Leverantören bör tillhandahålla servicenivåer </t>
    </r>
    <r>
      <rPr>
        <u/>
        <sz val="10"/>
        <rFont val="Calibri"/>
        <family val="2"/>
        <scheme val="minor"/>
      </rPr>
      <t xml:space="preserve"> avseende åtgärdstid  och tillhörande vite efter åtgärdstid </t>
    </r>
    <r>
      <rPr>
        <sz val="10"/>
        <rFont val="Calibri"/>
        <family val="2"/>
        <scheme val="minor"/>
      </rPr>
      <t>i enlighet med vad som anges i Bilaga 6 - Servicenivåavtal (SLA) stycke 2 tabell 2 Åtgärdstider Kategori</t>
    </r>
    <r>
      <rPr>
        <i/>
        <sz val="10"/>
        <rFont val="Calibri"/>
        <family val="2"/>
        <scheme val="minor"/>
      </rPr>
      <t xml:space="preserve"> Låg</t>
    </r>
  </si>
  <si>
    <t xml:space="preserve">IT-tjänstens alla funktioner ska fungera med moderna webbläsare såsom Microsoft Edge, Google Chrome, Firefox, Safari </t>
  </si>
  <si>
    <t>ja, med åtgärdstid 36 timmar</t>
  </si>
  <si>
    <t>ja, med åtgärdstid 72 timmar</t>
  </si>
  <si>
    <t>Bör-kravets vikt/ poäng eller högst avdrag</t>
  </si>
  <si>
    <t xml:space="preserve">Gallringsrapport/gallringslogg ska kunna skapas i IT-stödet. Uppgifterna ska minst bestå av  tidpunkt för gallring, vem som utfört gallringen och vad som gallrats. </t>
  </si>
  <si>
    <t xml:space="preserve"> IT-tjänsten ska ha funktion/ möjlighet att sätta villkor på konton och konteringsdimensioner (sambandskontroller) mot övriga dimensioner. </t>
  </si>
  <si>
    <t>2.2.11</t>
  </si>
  <si>
    <t xml:space="preserve"> IT-Tjänsten bör ha funktion så att vissa roller kan schemalägga periodstängningar</t>
  </si>
  <si>
    <t>Enligt F63</t>
  </si>
  <si>
    <t>Enligt F64</t>
  </si>
  <si>
    <t>Enligt F65</t>
  </si>
  <si>
    <t>Enligt F66</t>
  </si>
  <si>
    <t>avdrag bör-krav funktionalitet</t>
  </si>
  <si>
    <t>avdrag bör-krav SLA</t>
  </si>
  <si>
    <t>Summa Avdrag för bör-krav SLA:</t>
  </si>
  <si>
    <r>
      <t xml:space="preserve">Samtliga initiala integration enligt bilaga ska ingå och realiseras under införandeprojektet.
Se Bilaga 4 – </t>
    </r>
    <r>
      <rPr>
        <i/>
        <sz val="11"/>
        <rFont val="Calibri"/>
        <family val="2"/>
        <scheme val="minor"/>
      </rPr>
      <t xml:space="preserve">Initiala integrationer Huddinge.
</t>
    </r>
  </si>
  <si>
    <t>IT-Tjänsten ska ha funktion för att manuellt registrera samt ändra uppgifter om kund</t>
  </si>
  <si>
    <t xml:space="preserve"> I IT-Tjänsten bör det vara möjligt att välja vilka fält som ska vara synliga samt obligatoriska enligt beställarens önskan vid registrering av kund.</t>
  </si>
  <si>
    <t>3.2.21</t>
  </si>
  <si>
    <t>3.2.22</t>
  </si>
  <si>
    <t xml:space="preserve">It-Tjänsten ska leverera beställarens fakturor till  beställarens valda fakturadistibutör oavsett valt leveranssätt </t>
  </si>
  <si>
    <t>3.1.44</t>
  </si>
  <si>
    <t xml:space="preserve"> IT-Tjänsten ska leverera beställarens fakturor till  beställarens valda fakturadistibutör oavsett valt leveranssätt </t>
  </si>
  <si>
    <t>3.1.14.a</t>
  </si>
  <si>
    <t>5.2.10</t>
  </si>
  <si>
    <t>IT-tjänsten ska ha stöd för att registrera och hantera investeringsbidrag kopplat till anläggningstillgångar</t>
  </si>
  <si>
    <t xml:space="preserve"> IT-Tjänsten ska ha funktion för att automatiskt beräkna internränta.</t>
  </si>
  <si>
    <t>5.1.12</t>
  </si>
  <si>
    <t xml:space="preserve">Det ska vara möjligt att skapa projekt i IT-tjänsten. </t>
  </si>
  <si>
    <t>6.1.6</t>
  </si>
  <si>
    <t>IT-tjänsten ska tillhandahålla information om fel som underlättar avhjälpning (t ex ej matchade inbetalningar, ej fakturerade ordrar, filhanteringsproblem).</t>
  </si>
  <si>
    <r>
      <rPr>
        <sz val="11"/>
        <color theme="1"/>
        <rFont val="Calibri"/>
        <family val="2"/>
        <scheme val="minor"/>
      </rPr>
      <t>Hjälpfunktioner - FAQ el dyl</t>
    </r>
    <r>
      <rPr>
        <sz val="10"/>
        <rFont val="Arial"/>
        <family val="2"/>
      </rPr>
      <t xml:space="preserve">
</t>
    </r>
  </si>
  <si>
    <t>Hjälpfunktioner - text/lathundar</t>
  </si>
  <si>
    <t>2.3.a</t>
  </si>
  <si>
    <t>2.3.b</t>
  </si>
  <si>
    <t>2.3.c</t>
  </si>
  <si>
    <t>Automatiskt stängning/öppning av perioder</t>
  </si>
  <si>
    <t>2.7</t>
  </si>
  <si>
    <t>3.1.a</t>
  </si>
  <si>
    <t>3.1.b</t>
  </si>
  <si>
    <t>3.1.c</t>
  </si>
  <si>
    <t>4.1.a</t>
  </si>
  <si>
    <t>4.1.b</t>
  </si>
  <si>
    <t>4.1.c</t>
  </si>
  <si>
    <t>4.1.d</t>
  </si>
  <si>
    <t>4.1.e</t>
  </si>
  <si>
    <t>8.3.a</t>
  </si>
  <si>
    <t>8.3.b</t>
  </si>
  <si>
    <t>8.3.c</t>
  </si>
  <si>
    <t>8.3.d</t>
  </si>
  <si>
    <t>8.12.2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</si>
</sst>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8"/>
      <name val="Arial"/>
      <family val="2"/>
    </font>
    <font>
      <b/>
      <sz val="10"/>
      <name val="Arial"/>
      <family val="2"/>
    </font>
    <font>
      <sz val="14"/>
      <name val="Arial"/>
      <family val="2"/>
    </font>
    <font>
      <sz val="8"/>
      <name val="Arial"/>
      <family val="2"/>
    </font>
    <font>
      <sz val="7"/>
      <name val="Arial"/>
      <family val="2"/>
    </font>
    <font>
      <sz val="8"/>
      <name val="Arial"/>
      <family val="2"/>
    </font>
    <font>
      <sz val="10"/>
      <color theme="1"/>
      <name val="Arial"/>
      <family val="2"/>
    </font>
    <font>
      <sz val="10"/>
      <color rgb="FFFF0000"/>
      <name val="Arial"/>
      <family val="2"/>
    </font>
    <font>
      <sz val="8"/>
      <name val="Arial"/>
      <family val="2"/>
    </font>
    <font>
      <b/>
      <sz val="8"/>
      <name val="Calibri"/>
      <family val="2"/>
      <scheme val="minor"/>
    </font>
    <font>
      <sz val="10"/>
      <name val="Calibri"/>
      <family val="2"/>
      <scheme val="minor"/>
    </font>
    <font>
      <b/>
      <sz val="10"/>
      <name val="Calibri"/>
      <family val="2"/>
      <scheme val="minor"/>
    </font>
    <font>
      <sz val="10"/>
      <color rgb="FFFF0000"/>
      <name val="Calibri"/>
      <family val="2"/>
      <scheme val="minor"/>
    </font>
    <font>
      <sz val="10"/>
      <color theme="1"/>
      <name val="Calibri"/>
      <family val="2"/>
      <scheme val="minor"/>
    </font>
    <font>
      <sz val="10"/>
      <name val="Calibri"/>
      <family val="2"/>
    </font>
    <font>
      <b/>
      <sz val="12"/>
      <color theme="1"/>
      <name val="Calibri"/>
      <family val="2"/>
      <scheme val="minor"/>
    </font>
    <font>
      <b/>
      <sz val="11"/>
      <name val="Calibri"/>
      <family val="2"/>
      <scheme val="minor"/>
    </font>
    <font>
      <sz val="11"/>
      <name val="Calibri"/>
      <family val="2"/>
      <scheme val="minor"/>
    </font>
    <font>
      <sz val="11"/>
      <color rgb="FF000000"/>
      <name val="Calibri"/>
      <family val="2"/>
    </font>
    <font>
      <sz val="11"/>
      <color rgb="FFFF0000"/>
      <name val="Calibri"/>
      <family val="2"/>
      <scheme val="minor"/>
    </font>
    <font>
      <i/>
      <sz val="11"/>
      <name val="Calibri"/>
      <family val="2"/>
      <scheme val="minor"/>
    </font>
    <font>
      <u/>
      <sz val="10"/>
      <color theme="10"/>
      <name val="Arial"/>
      <family val="2"/>
    </font>
    <font>
      <sz val="11"/>
      <color rgb="FF000000"/>
      <name val="Calibri"/>
      <family val="2"/>
      <scheme val="minor"/>
    </font>
    <font>
      <sz val="11"/>
      <color rgb="FF0070C0"/>
      <name val="Calibri"/>
      <family val="2"/>
      <scheme val="minor"/>
    </font>
    <font>
      <b/>
      <sz val="11"/>
      <color rgb="FF000000"/>
      <name val="Calibri"/>
      <family val="2"/>
    </font>
    <font>
      <sz val="11"/>
      <name val="Calibri"/>
      <family val="2"/>
    </font>
    <font>
      <sz val="11"/>
      <name val="Arial"/>
      <family val="2"/>
    </font>
    <font>
      <sz val="10"/>
      <color rgb="FF000000"/>
      <name val="Calibri"/>
      <family val="2"/>
      <scheme val="minor"/>
    </font>
    <font>
      <b/>
      <sz val="11"/>
      <color theme="1"/>
      <name val="Calibri"/>
      <family val="2"/>
      <scheme val="minor"/>
    </font>
    <font>
      <sz val="9"/>
      <name val="Calibri"/>
      <family val="2"/>
      <scheme val="minor"/>
    </font>
    <font>
      <i/>
      <sz val="9"/>
      <name val="Calibri"/>
      <family val="2"/>
      <scheme val="minor"/>
    </font>
    <font>
      <b/>
      <sz val="11"/>
      <color theme="1"/>
      <name val="Calibri"/>
      <family val="2"/>
    </font>
    <font>
      <i/>
      <sz val="11"/>
      <color theme="1"/>
      <name val="Calibri"/>
      <family val="2"/>
      <scheme val="minor"/>
    </font>
    <font>
      <i/>
      <sz val="10"/>
      <name val="Calibri"/>
      <family val="2"/>
      <scheme val="minor"/>
    </font>
    <font>
      <b/>
      <sz val="10"/>
      <color rgb="FFFF0000"/>
      <name val="Arial"/>
      <family val="2"/>
    </font>
    <font>
      <i/>
      <sz val="8"/>
      <name val="Calibri"/>
      <family val="2"/>
      <scheme val="minor"/>
    </font>
    <font>
      <i/>
      <sz val="8"/>
      <color theme="1"/>
      <name val="Calibri"/>
      <family val="2"/>
      <scheme val="minor"/>
    </font>
    <font>
      <sz val="8"/>
      <color theme="1" tint="0.499984740745262"/>
      <name val="Calibri"/>
      <family val="2"/>
      <scheme val="minor"/>
    </font>
    <font>
      <b/>
      <sz val="14"/>
      <color theme="1"/>
      <name val="Calibri"/>
      <family val="2"/>
      <scheme val="minor"/>
    </font>
    <font>
      <sz val="12"/>
      <color theme="1"/>
      <name val="Calibri"/>
      <family val="2"/>
      <scheme val="minor"/>
    </font>
    <font>
      <sz val="8"/>
      <color theme="1" tint="0.249977111117893"/>
      <name val="Calibri"/>
      <family val="2"/>
      <scheme val="minor"/>
    </font>
    <font>
      <sz val="8"/>
      <name val="Arial"/>
      <family val="2"/>
    </font>
    <font>
      <sz val="10"/>
      <color theme="1"/>
      <name val="Calibri"/>
      <family val="2"/>
    </font>
    <font>
      <i/>
      <sz val="10"/>
      <color theme="1"/>
      <name val="Calibri"/>
      <family val="2"/>
    </font>
    <font>
      <b/>
      <sz val="10"/>
      <color rgb="FFFF0000"/>
      <name val="Calibri"/>
      <family val="2"/>
      <scheme val="minor"/>
    </font>
    <font>
      <strike/>
      <sz val="10"/>
      <color theme="1"/>
      <name val="Calibri"/>
      <family val="2"/>
      <scheme val="minor"/>
    </font>
    <font>
      <u/>
      <sz val="10"/>
      <name val="Calibri"/>
      <family val="2"/>
      <scheme val="minor"/>
    </font>
    <font>
      <sz val="9"/>
      <name val="Segoe UI"/>
      <family val="2"/>
    </font>
  </fonts>
  <fills count="12">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A6D8E8"/>
        <bgColor rgb="FFA6D8E8"/>
      </patternFill>
    </fill>
    <fill>
      <patternFill patternType="solid">
        <fgColor rgb="FFA6D8E8"/>
        <bgColor indexed="64"/>
      </patternFill>
    </fill>
    <fill>
      <patternFill patternType="solid">
        <fgColor theme="0" tint="-4.9989318521683403E-2"/>
        <bgColor indexed="64"/>
      </patternFill>
    </fill>
    <fill>
      <patternFill patternType="solid">
        <fgColor rgb="FFFFFF66"/>
        <bgColor indexed="64"/>
      </patternFill>
    </fill>
    <fill>
      <patternFill patternType="solid">
        <fgColor theme="6" tint="0.79998168889431442"/>
        <bgColor indexed="64"/>
      </patternFill>
    </fill>
  </fills>
  <borders count="6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indexed="64"/>
      </left>
      <right style="dashed">
        <color indexed="64"/>
      </right>
      <top style="dashed">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dashed">
        <color indexed="64"/>
      </left>
      <right style="thin">
        <color indexed="64"/>
      </right>
      <top/>
      <bottom style="dashed">
        <color indexed="64"/>
      </bottom>
      <diagonal/>
    </border>
    <border>
      <left style="hair">
        <color indexed="64"/>
      </left>
      <right style="hair">
        <color indexed="64"/>
      </right>
      <top style="hair">
        <color indexed="64"/>
      </top>
      <bottom/>
      <diagonal/>
    </border>
    <border>
      <left style="thin">
        <color indexed="64"/>
      </left>
      <right style="dashed">
        <color indexed="64"/>
      </right>
      <top/>
      <bottom style="dashed">
        <color indexed="64"/>
      </bottom>
      <diagonal/>
    </border>
    <border>
      <left style="hair">
        <color indexed="64"/>
      </left>
      <right style="hair">
        <color indexed="64"/>
      </right>
      <top/>
      <bottom style="hair">
        <color indexed="64"/>
      </bottom>
      <diagonal/>
    </border>
    <border>
      <left style="dashed">
        <color indexed="64"/>
      </left>
      <right style="dashed">
        <color indexed="64"/>
      </right>
      <top/>
      <bottom style="dashed">
        <color indexed="64"/>
      </bottom>
      <diagonal/>
    </border>
    <border>
      <left style="thin">
        <color indexed="64"/>
      </left>
      <right style="thin">
        <color indexed="64"/>
      </right>
      <top/>
      <bottom/>
      <diagonal/>
    </border>
    <border>
      <left style="thin">
        <color auto="1"/>
      </left>
      <right style="thin">
        <color rgb="FF000000"/>
      </right>
      <top/>
      <bottom style="thin">
        <color auto="1"/>
      </bottom>
      <diagonal/>
    </border>
    <border>
      <left style="dashed">
        <color indexed="64"/>
      </left>
      <right style="dashed">
        <color indexed="64"/>
      </right>
      <top style="thin">
        <color rgb="FF000000"/>
      </top>
      <bottom style="dashed">
        <color indexed="64"/>
      </bottom>
      <diagonal/>
    </border>
    <border>
      <left style="thin">
        <color rgb="FF000000"/>
      </left>
      <right style="thin">
        <color rgb="FF000000"/>
      </right>
      <top style="medium">
        <color rgb="FF000000"/>
      </top>
      <bottom style="thin">
        <color rgb="FF000000"/>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dashed">
        <color indexed="64"/>
      </left>
      <right/>
      <top style="dashed">
        <color indexed="64"/>
      </top>
      <bottom style="dashed">
        <color indexed="64"/>
      </bottom>
      <diagonal/>
    </border>
    <border>
      <left style="thin">
        <color rgb="FF000000"/>
      </left>
      <right style="thin">
        <color rgb="FF000000"/>
      </right>
      <top style="thin">
        <color rgb="FF000000"/>
      </top>
      <bottom style="thin">
        <color rgb="FF000000"/>
      </bottom>
      <diagonal/>
    </border>
    <border>
      <left/>
      <right style="thin">
        <color indexed="64"/>
      </right>
      <top style="dashed">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rgb="FF000000"/>
      </left>
      <right/>
      <top style="medium">
        <color rgb="FF000000"/>
      </top>
      <bottom style="thin">
        <color rgb="FF000000"/>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s>
  <cellStyleXfs count="13">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7" fillId="0" borderId="0" applyNumberFormat="0" applyFill="0" applyBorder="0" applyAlignment="0" applyProtection="0"/>
  </cellStyleXfs>
  <cellXfs count="373">
    <xf numFmtId="0" fontId="0" fillId="0" borderId="0" xfId="0"/>
    <xf numFmtId="0" fontId="7" fillId="0" borderId="0" xfId="0" applyFont="1" applyAlignment="1">
      <alignment horizontal="left" vertical="center"/>
    </xf>
    <xf numFmtId="49" fontId="10" fillId="2" borderId="7" xfId="0" applyNumberFormat="1" applyFont="1" applyFill="1" applyBorder="1" applyAlignment="1">
      <alignment horizontal="center" vertical="center" wrapText="1"/>
    </xf>
    <xf numFmtId="49" fontId="10" fillId="2" borderId="5" xfId="0" applyNumberFormat="1" applyFont="1" applyFill="1" applyBorder="1" applyAlignment="1">
      <alignment horizontal="center" vertical="center"/>
    </xf>
    <xf numFmtId="1" fontId="8" fillId="2" borderId="7" xfId="0" applyNumberFormat="1" applyFont="1" applyFill="1" applyBorder="1" applyAlignment="1">
      <alignment horizontal="left"/>
    </xf>
    <xf numFmtId="0" fontId="7" fillId="0" borderId="0" xfId="0" applyFont="1" applyAlignment="1">
      <alignment horizontal="center" vertical="center"/>
    </xf>
    <xf numFmtId="1" fontId="6" fillId="2" borderId="1" xfId="0" applyNumberFormat="1" applyFont="1" applyFill="1" applyBorder="1" applyAlignment="1">
      <alignment horizontal="left" vertical="top"/>
    </xf>
    <xf numFmtId="0" fontId="7" fillId="0" borderId="0" xfId="0" applyFont="1" applyAlignment="1">
      <alignment horizontal="left" vertical="top"/>
    </xf>
    <xf numFmtId="0" fontId="5" fillId="0" borderId="0" xfId="0" applyFont="1" applyAlignment="1">
      <alignment horizontal="center"/>
    </xf>
    <xf numFmtId="49" fontId="10" fillId="2" borderId="5" xfId="0" applyNumberFormat="1" applyFont="1" applyFill="1" applyBorder="1" applyAlignment="1">
      <alignment horizontal="center" vertical="center" wrapText="1"/>
    </xf>
    <xf numFmtId="0" fontId="5" fillId="0" borderId="0" xfId="0" applyFont="1" applyAlignment="1">
      <alignment horizontal="justify" vertical="justify" wrapText="1"/>
    </xf>
    <xf numFmtId="0" fontId="13" fillId="0" borderId="0" xfId="0" applyFont="1" applyAlignment="1">
      <alignment vertical="top"/>
    </xf>
    <xf numFmtId="0" fontId="13" fillId="0" borderId="0" xfId="0" applyFont="1" applyAlignment="1">
      <alignment horizontal="center" vertical="top"/>
    </xf>
    <xf numFmtId="0" fontId="5" fillId="0" borderId="4" xfId="0" applyFont="1" applyBorder="1"/>
    <xf numFmtId="1" fontId="5" fillId="2" borderId="7" xfId="0" applyNumberFormat="1" applyFont="1" applyFill="1" applyBorder="1" applyAlignment="1">
      <alignment horizontal="left"/>
    </xf>
    <xf numFmtId="0" fontId="5" fillId="0" borderId="0" xfId="0" applyFont="1"/>
    <xf numFmtId="0" fontId="5" fillId="0" borderId="0" xfId="0" applyFont="1" applyAlignment="1">
      <alignment vertical="top"/>
    </xf>
    <xf numFmtId="0" fontId="5" fillId="0" borderId="0" xfId="0" applyFont="1" applyAlignment="1">
      <alignment horizontal="center" vertical="top"/>
    </xf>
    <xf numFmtId="0" fontId="5" fillId="0" borderId="3" xfId="0" applyFont="1" applyBorder="1" applyAlignment="1">
      <alignment vertical="top" wrapText="1"/>
    </xf>
    <xf numFmtId="1" fontId="6" fillId="2" borderId="9" xfId="0" applyNumberFormat="1" applyFont="1" applyFill="1" applyBorder="1" applyAlignment="1">
      <alignment horizontal="left" vertical="center"/>
    </xf>
    <xf numFmtId="1" fontId="6" fillId="2" borderId="14" xfId="0" applyNumberFormat="1" applyFont="1" applyFill="1" applyBorder="1" applyAlignment="1">
      <alignment horizontal="left" vertical="top"/>
    </xf>
    <xf numFmtId="0" fontId="5" fillId="0" borderId="15" xfId="0" applyFont="1" applyBorder="1" applyAlignment="1">
      <alignment vertical="top"/>
    </xf>
    <xf numFmtId="0" fontId="5" fillId="0" borderId="16" xfId="0" applyFont="1" applyBorder="1" applyAlignment="1">
      <alignment horizontal="center" vertical="top" wrapText="1"/>
    </xf>
    <xf numFmtId="0" fontId="5" fillId="0" borderId="17" xfId="0" applyFont="1" applyBorder="1" applyAlignment="1">
      <alignment vertical="top" wrapText="1"/>
    </xf>
    <xf numFmtId="0" fontId="5" fillId="0" borderId="18" xfId="0" applyFont="1" applyBorder="1" applyAlignment="1">
      <alignment vertical="top"/>
    </xf>
    <xf numFmtId="0" fontId="5" fillId="0" borderId="19" xfId="0" applyFont="1" applyBorder="1" applyAlignment="1">
      <alignment horizontal="left" vertical="top" wrapText="1"/>
    </xf>
    <xf numFmtId="0" fontId="5" fillId="0" borderId="19" xfId="0" applyFont="1" applyBorder="1" applyAlignment="1">
      <alignment horizontal="center" vertical="top" wrapText="1"/>
    </xf>
    <xf numFmtId="0" fontId="5" fillId="0" borderId="20" xfId="0" applyFont="1" applyBorder="1" applyAlignment="1">
      <alignment vertical="top" wrapText="1"/>
    </xf>
    <xf numFmtId="0" fontId="5" fillId="0" borderId="19" xfId="0" applyFont="1" applyBorder="1" applyAlignment="1">
      <alignment vertical="top" wrapText="1"/>
    </xf>
    <xf numFmtId="0" fontId="5" fillId="0" borderId="21" xfId="0" applyFont="1" applyBorder="1" applyAlignment="1">
      <alignment vertical="top"/>
    </xf>
    <xf numFmtId="0" fontId="5" fillId="0" borderId="22" xfId="0" applyFont="1" applyBorder="1" applyAlignment="1">
      <alignment horizontal="center"/>
    </xf>
    <xf numFmtId="0" fontId="5" fillId="0" borderId="22" xfId="0" applyFont="1" applyBorder="1"/>
    <xf numFmtId="0" fontId="5" fillId="0" borderId="23" xfId="0" applyFont="1" applyBorder="1" applyAlignment="1">
      <alignment vertical="top" wrapText="1"/>
    </xf>
    <xf numFmtId="0" fontId="5" fillId="0" borderId="16" xfId="0" applyFont="1" applyBorder="1" applyAlignment="1">
      <alignment vertical="top" wrapText="1"/>
    </xf>
    <xf numFmtId="0" fontId="12" fillId="0" borderId="19" xfId="0" applyFont="1" applyBorder="1" applyAlignment="1">
      <alignment vertical="top" wrapText="1"/>
    </xf>
    <xf numFmtId="0" fontId="13" fillId="0" borderId="19" xfId="0" applyFont="1" applyBorder="1" applyAlignment="1">
      <alignment vertical="top" wrapText="1"/>
    </xf>
    <xf numFmtId="0" fontId="13" fillId="0" borderId="20" xfId="0" applyFont="1" applyBorder="1" applyAlignment="1">
      <alignment vertical="top" wrapText="1"/>
    </xf>
    <xf numFmtId="0" fontId="12" fillId="0" borderId="22" xfId="0" applyFont="1" applyBorder="1" applyAlignment="1">
      <alignment vertical="top" wrapText="1"/>
    </xf>
    <xf numFmtId="0" fontId="13" fillId="0" borderId="22" xfId="0" applyFont="1" applyBorder="1" applyAlignment="1">
      <alignment vertical="top" wrapText="1"/>
    </xf>
    <xf numFmtId="0" fontId="13" fillId="0" borderId="23" xfId="0" applyFont="1" applyBorder="1" applyAlignment="1">
      <alignment vertical="top" wrapText="1"/>
    </xf>
    <xf numFmtId="0" fontId="12" fillId="0" borderId="18" xfId="0" applyFont="1" applyBorder="1" applyAlignment="1">
      <alignment vertical="top"/>
    </xf>
    <xf numFmtId="0" fontId="12" fillId="0" borderId="21" xfId="0" applyFont="1" applyBorder="1" applyAlignment="1">
      <alignment vertical="top"/>
    </xf>
    <xf numFmtId="1" fontId="8" fillId="2" borderId="7" xfId="0" applyNumberFormat="1" applyFont="1" applyFill="1" applyBorder="1" applyAlignment="1">
      <alignment horizontal="left" wrapText="1"/>
    </xf>
    <xf numFmtId="0" fontId="5" fillId="0" borderId="17" xfId="0" applyFont="1" applyBorder="1" applyAlignment="1">
      <alignment horizontal="left" vertical="top" wrapText="1"/>
    </xf>
    <xf numFmtId="0" fontId="5" fillId="0" borderId="20" xfId="0" applyFont="1" applyBorder="1" applyAlignment="1">
      <alignment horizontal="left" vertical="top" wrapText="1"/>
    </xf>
    <xf numFmtId="0" fontId="12" fillId="0" borderId="19" xfId="0" applyFont="1" applyBorder="1" applyAlignment="1">
      <alignment horizontal="justify" vertical="justify" wrapText="1"/>
    </xf>
    <xf numFmtId="0" fontId="5" fillId="0" borderId="22" xfId="0" applyFont="1" applyBorder="1" applyAlignment="1">
      <alignment horizontal="left" vertical="top" wrapText="1"/>
    </xf>
    <xf numFmtId="0" fontId="13" fillId="0" borderId="19" xfId="0" applyFont="1" applyBorder="1" applyAlignment="1">
      <alignment horizontal="center" vertical="top" wrapText="1"/>
    </xf>
    <xf numFmtId="0" fontId="13" fillId="0" borderId="22" xfId="0" applyFont="1" applyBorder="1" applyAlignment="1">
      <alignment horizontal="center" vertical="top" wrapText="1"/>
    </xf>
    <xf numFmtId="0" fontId="5" fillId="0" borderId="15" xfId="1" applyBorder="1" applyAlignment="1">
      <alignment vertical="top"/>
    </xf>
    <xf numFmtId="0" fontId="5" fillId="0" borderId="16" xfId="1" applyBorder="1" applyAlignment="1">
      <alignment vertical="top" wrapText="1"/>
    </xf>
    <xf numFmtId="0" fontId="5" fillId="0" borderId="17" xfId="1" applyBorder="1" applyAlignment="1">
      <alignment vertical="top" wrapText="1"/>
    </xf>
    <xf numFmtId="0" fontId="5" fillId="0" borderId="18" xfId="1" applyBorder="1" applyAlignment="1">
      <alignment vertical="top"/>
    </xf>
    <xf numFmtId="0" fontId="5" fillId="0" borderId="19" xfId="1" applyBorder="1" applyAlignment="1">
      <alignment vertical="top" wrapText="1"/>
    </xf>
    <xf numFmtId="0" fontId="5" fillId="0" borderId="20" xfId="1" applyBorder="1" applyAlignment="1">
      <alignment vertical="top" wrapText="1"/>
    </xf>
    <xf numFmtId="49" fontId="5" fillId="2" borderId="5"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7" xfId="0" applyNumberFormat="1" applyFont="1" applyFill="1" applyBorder="1" applyAlignment="1">
      <alignment horizontal="left" vertical="center" wrapText="1"/>
    </xf>
    <xf numFmtId="49" fontId="5" fillId="2" borderId="7" xfId="0" applyNumberFormat="1" applyFont="1" applyFill="1" applyBorder="1" applyAlignment="1">
      <alignment horizontal="justify" vertical="justify" wrapText="1"/>
    </xf>
    <xf numFmtId="49" fontId="5" fillId="2" borderId="6" xfId="0" applyNumberFormat="1" applyFont="1" applyFill="1" applyBorder="1" applyAlignment="1">
      <alignment horizontal="left" vertical="center" wrapText="1"/>
    </xf>
    <xf numFmtId="1" fontId="8" fillId="2" borderId="7" xfId="1" applyNumberFormat="1" applyFont="1" applyFill="1" applyBorder="1" applyAlignment="1">
      <alignment horizontal="left"/>
    </xf>
    <xf numFmtId="49" fontId="10" fillId="2" borderId="5" xfId="1" applyNumberFormat="1" applyFont="1" applyFill="1" applyBorder="1" applyAlignment="1">
      <alignment horizontal="center" vertical="center" wrapText="1"/>
    </xf>
    <xf numFmtId="49" fontId="10" fillId="2" borderId="5" xfId="1" applyNumberFormat="1" applyFont="1" applyFill="1" applyBorder="1" applyAlignment="1">
      <alignment horizontal="center" vertical="center"/>
    </xf>
    <xf numFmtId="49" fontId="10" fillId="2" borderId="7" xfId="1" applyNumberFormat="1" applyFont="1" applyFill="1" applyBorder="1" applyAlignment="1">
      <alignment horizontal="center" vertical="center" wrapText="1"/>
    </xf>
    <xf numFmtId="49" fontId="5" fillId="2" borderId="5" xfId="1" applyNumberFormat="1" applyFill="1" applyBorder="1" applyAlignment="1">
      <alignment horizontal="center" vertical="center" wrapText="1"/>
    </xf>
    <xf numFmtId="0" fontId="5" fillId="0" borderId="0" xfId="1"/>
    <xf numFmtId="0" fontId="5" fillId="0" borderId="0" xfId="1" applyAlignment="1">
      <alignment horizontal="center"/>
    </xf>
    <xf numFmtId="49" fontId="5" fillId="2" borderId="6" xfId="1" applyNumberFormat="1" applyFill="1" applyBorder="1" applyAlignment="1">
      <alignment horizontal="left" vertical="center" wrapText="1"/>
    </xf>
    <xf numFmtId="49" fontId="5" fillId="2" borderId="7" xfId="1" applyNumberFormat="1" applyFill="1" applyBorder="1" applyAlignment="1">
      <alignment horizontal="left" vertical="center" wrapText="1"/>
    </xf>
    <xf numFmtId="0" fontId="5" fillId="0" borderId="0" xfId="1" applyAlignment="1">
      <alignment vertical="top"/>
    </xf>
    <xf numFmtId="0" fontId="5" fillId="0" borderId="0" xfId="1" applyAlignment="1">
      <alignment horizontal="center" vertical="top"/>
    </xf>
    <xf numFmtId="0" fontId="7" fillId="0" borderId="0" xfId="1" applyFont="1" applyAlignment="1">
      <alignment horizontal="left" vertical="top"/>
    </xf>
    <xf numFmtId="0" fontId="5" fillId="0" borderId="16" xfId="1" applyBorder="1" applyAlignment="1">
      <alignment horizontal="center" vertical="top"/>
    </xf>
    <xf numFmtId="0" fontId="5" fillId="0" borderId="19" xfId="1" applyBorder="1" applyAlignment="1">
      <alignment horizontal="center" vertical="top"/>
    </xf>
    <xf numFmtId="0" fontId="12" fillId="0" borderId="19" xfId="1" applyFont="1" applyBorder="1" applyAlignment="1">
      <alignment vertical="top" wrapText="1"/>
    </xf>
    <xf numFmtId="0" fontId="13" fillId="0" borderId="20" xfId="1" applyFont="1" applyBorder="1" applyAlignment="1">
      <alignment vertical="top" wrapText="1"/>
    </xf>
    <xf numFmtId="0" fontId="5" fillId="0" borderId="4" xfId="1" applyBorder="1"/>
    <xf numFmtId="0" fontId="5" fillId="0" borderId="0" xfId="1" applyAlignment="1">
      <alignment horizontal="justify" vertical="justify" wrapText="1"/>
    </xf>
    <xf numFmtId="0" fontId="5" fillId="0" borderId="3" xfId="1" applyBorder="1" applyAlignment="1">
      <alignment vertical="top" wrapText="1"/>
    </xf>
    <xf numFmtId="1" fontId="5" fillId="2" borderId="7" xfId="1" applyNumberFormat="1" applyFill="1" applyBorder="1" applyAlignment="1">
      <alignment horizontal="left"/>
    </xf>
    <xf numFmtId="49" fontId="5" fillId="2" borderId="7" xfId="1" applyNumberFormat="1" applyFill="1" applyBorder="1" applyAlignment="1">
      <alignment horizontal="center" vertical="center"/>
    </xf>
    <xf numFmtId="49" fontId="5" fillId="2" borderId="6" xfId="1" applyNumberFormat="1" applyFill="1" applyBorder="1" applyAlignment="1">
      <alignment horizontal="center" vertical="center"/>
    </xf>
    <xf numFmtId="1" fontId="6" fillId="2" borderId="9" xfId="1" applyNumberFormat="1" applyFont="1" applyFill="1" applyBorder="1" applyAlignment="1">
      <alignment horizontal="left" vertical="top"/>
    </xf>
    <xf numFmtId="0" fontId="5" fillId="0" borderId="16" xfId="1" applyBorder="1" applyAlignment="1">
      <alignment vertical="top"/>
    </xf>
    <xf numFmtId="0" fontId="5" fillId="0" borderId="19" xfId="1" applyBorder="1" applyAlignment="1">
      <alignment vertical="top"/>
    </xf>
    <xf numFmtId="49" fontId="5" fillId="2" borderId="7" xfId="1" applyNumberFormat="1" applyFill="1" applyBorder="1" applyAlignment="1">
      <alignment horizontal="justify" vertical="justify" wrapText="1"/>
    </xf>
    <xf numFmtId="1" fontId="6" fillId="2" borderId="1" xfId="1" applyNumberFormat="1" applyFont="1" applyFill="1" applyBorder="1" applyAlignment="1">
      <alignment horizontal="left" vertical="center"/>
    </xf>
    <xf numFmtId="0" fontId="7" fillId="0" borderId="0" xfId="1" applyFont="1" applyAlignment="1">
      <alignment horizontal="left" vertical="center"/>
    </xf>
    <xf numFmtId="0" fontId="7" fillId="0" borderId="0" xfId="1" applyFont="1" applyAlignment="1">
      <alignment horizontal="center" vertical="center"/>
    </xf>
    <xf numFmtId="0" fontId="13" fillId="0" borderId="17" xfId="1" applyFont="1" applyBorder="1" applyAlignment="1">
      <alignment vertical="top" wrapText="1"/>
    </xf>
    <xf numFmtId="1" fontId="6" fillId="2" borderId="9" xfId="1" applyNumberFormat="1" applyFont="1" applyFill="1" applyBorder="1" applyAlignment="1">
      <alignment horizontal="left" vertical="center"/>
    </xf>
    <xf numFmtId="49" fontId="6" fillId="2" borderId="10" xfId="1" applyNumberFormat="1" applyFont="1" applyFill="1" applyBorder="1" applyAlignment="1">
      <alignment horizontal="left" vertical="justify" wrapText="1"/>
    </xf>
    <xf numFmtId="49" fontId="6" fillId="2" borderId="11" xfId="1" applyNumberFormat="1" applyFont="1" applyFill="1" applyBorder="1" applyAlignment="1">
      <alignment horizontal="left" vertical="justify" wrapText="1"/>
    </xf>
    <xf numFmtId="0" fontId="12" fillId="0" borderId="16" xfId="1" applyFont="1" applyBorder="1" applyAlignment="1">
      <alignment vertical="top" wrapText="1"/>
    </xf>
    <xf numFmtId="1" fontId="6" fillId="2" borderId="14" xfId="1" applyNumberFormat="1" applyFont="1" applyFill="1" applyBorder="1" applyAlignment="1">
      <alignment horizontal="left" vertical="top"/>
    </xf>
    <xf numFmtId="0" fontId="12" fillId="0" borderId="18" xfId="1" applyFont="1" applyBorder="1" applyAlignment="1">
      <alignment vertical="top"/>
    </xf>
    <xf numFmtId="0" fontId="12" fillId="0" borderId="24" xfId="0" applyFont="1" applyBorder="1" applyAlignment="1">
      <alignment vertical="top" wrapText="1"/>
    </xf>
    <xf numFmtId="49" fontId="15" fillId="2" borderId="7" xfId="0" applyNumberFormat="1" applyFont="1" applyFill="1" applyBorder="1" applyAlignment="1">
      <alignment horizontal="center" vertical="center" wrapText="1"/>
    </xf>
    <xf numFmtId="0" fontId="16" fillId="0" borderId="0" xfId="0" applyFont="1"/>
    <xf numFmtId="0" fontId="17" fillId="0" borderId="0" xfId="0" applyFont="1" applyAlignment="1">
      <alignment horizontal="left" vertical="top"/>
    </xf>
    <xf numFmtId="0" fontId="16" fillId="0" borderId="15" xfId="0" applyFont="1" applyBorder="1" applyAlignment="1">
      <alignment vertical="top"/>
    </xf>
    <xf numFmtId="0" fontId="16" fillId="0" borderId="0" xfId="0" applyFont="1" applyAlignment="1">
      <alignment vertical="top" wrapText="1"/>
    </xf>
    <xf numFmtId="0" fontId="16" fillId="0" borderId="0" xfId="0" applyFont="1" applyAlignment="1">
      <alignment vertical="top"/>
    </xf>
    <xf numFmtId="0" fontId="16" fillId="0" borderId="18" xfId="0" applyFont="1" applyBorder="1" applyAlignment="1">
      <alignment vertical="top"/>
    </xf>
    <xf numFmtId="0" fontId="16" fillId="0" borderId="20" xfId="1" applyFont="1" applyBorder="1" applyAlignment="1">
      <alignment horizontal="center" vertical="top" wrapText="1"/>
    </xf>
    <xf numFmtId="0" fontId="16" fillId="0" borderId="4" xfId="0" applyFont="1" applyBorder="1"/>
    <xf numFmtId="0" fontId="16" fillId="0" borderId="0" xfId="0" applyFont="1" applyAlignment="1">
      <alignment horizontal="justify" vertical="top" wrapText="1"/>
    </xf>
    <xf numFmtId="0" fontId="16" fillId="0" borderId="0" xfId="0" applyFont="1" applyAlignment="1">
      <alignment horizontal="center" vertical="top" wrapText="1"/>
    </xf>
    <xf numFmtId="0" fontId="16" fillId="0" borderId="0" xfId="0" applyFont="1" applyAlignment="1">
      <alignment vertical="justify" wrapText="1"/>
    </xf>
    <xf numFmtId="0" fontId="16" fillId="0" borderId="0" xfId="0" applyFont="1" applyAlignment="1">
      <alignment horizontal="center" vertical="center" wrapText="1"/>
    </xf>
    <xf numFmtId="0" fontId="16" fillId="0" borderId="0" xfId="1" applyFont="1"/>
    <xf numFmtId="49" fontId="15" fillId="2" borderId="2" xfId="1" applyNumberFormat="1" applyFont="1" applyFill="1" applyBorder="1" applyAlignment="1">
      <alignment horizontal="left" vertical="top" wrapText="1"/>
    </xf>
    <xf numFmtId="0" fontId="16" fillId="0" borderId="4" xfId="1" applyFont="1" applyBorder="1"/>
    <xf numFmtId="0" fontId="16" fillId="0" borderId="0" xfId="1" applyFont="1" applyAlignment="1">
      <alignment horizontal="justify" vertical="justify" wrapText="1"/>
    </xf>
    <xf numFmtId="0" fontId="16" fillId="0" borderId="0" xfId="1" applyFont="1" applyAlignment="1">
      <alignment horizontal="center" vertical="top" wrapText="1"/>
    </xf>
    <xf numFmtId="0" fontId="16" fillId="0" borderId="0" xfId="1" applyFont="1" applyAlignment="1">
      <alignment vertical="justify" wrapText="1"/>
    </xf>
    <xf numFmtId="0" fontId="16" fillId="0" borderId="0" xfId="1" applyFont="1" applyAlignment="1">
      <alignment horizontal="center" vertical="center" wrapText="1"/>
    </xf>
    <xf numFmtId="0" fontId="16" fillId="4" borderId="0" xfId="1" applyFont="1" applyFill="1"/>
    <xf numFmtId="0" fontId="16" fillId="4" borderId="0" xfId="1" applyFont="1" applyFill="1" applyAlignment="1">
      <alignment vertical="top"/>
    </xf>
    <xf numFmtId="0" fontId="17" fillId="4" borderId="0" xfId="1" applyFont="1" applyFill="1" applyAlignment="1">
      <alignment horizontal="left" vertical="top"/>
    </xf>
    <xf numFmtId="0" fontId="0" fillId="0" borderId="0" xfId="0" applyAlignment="1">
      <alignment horizontal="center" vertical="center"/>
    </xf>
    <xf numFmtId="0" fontId="0" fillId="0" borderId="0" xfId="0" applyAlignment="1">
      <alignment vertical="center"/>
    </xf>
    <xf numFmtId="0" fontId="22" fillId="0" borderId="0" xfId="0" applyFont="1" applyAlignment="1">
      <alignment horizontal="center" vertical="center"/>
    </xf>
    <xf numFmtId="0" fontId="23" fillId="0" borderId="0" xfId="0" applyFont="1"/>
    <xf numFmtId="0" fontId="23" fillId="0" borderId="0" xfId="0" applyFont="1" applyAlignment="1">
      <alignment vertical="top"/>
    </xf>
    <xf numFmtId="0" fontId="23" fillId="0" borderId="33" xfId="0" applyFont="1" applyBorder="1" applyAlignment="1">
      <alignment wrapText="1"/>
    </xf>
    <xf numFmtId="49" fontId="23" fillId="0" borderId="7" xfId="0" applyNumberFormat="1" applyFont="1" applyBorder="1" applyAlignment="1">
      <alignment horizontal="left" vertical="top" wrapText="1"/>
    </xf>
    <xf numFmtId="0" fontId="32" fillId="0" borderId="0" xfId="0" applyFont="1"/>
    <xf numFmtId="0" fontId="16" fillId="6" borderId="20" xfId="1" applyFont="1" applyFill="1" applyBorder="1" applyAlignment="1">
      <alignment horizontal="center" vertical="top" wrapText="1"/>
    </xf>
    <xf numFmtId="0" fontId="23" fillId="0" borderId="7" xfId="0" applyFont="1" applyBorder="1" applyAlignment="1">
      <alignment vertical="top" wrapText="1"/>
    </xf>
    <xf numFmtId="0" fontId="23" fillId="0" borderId="7" xfId="0" applyFont="1" applyBorder="1" applyAlignment="1">
      <alignment wrapText="1"/>
    </xf>
    <xf numFmtId="0" fontId="23" fillId="0" borderId="0" xfId="0" applyFont="1" applyAlignment="1">
      <alignment vertical="top" wrapText="1"/>
    </xf>
    <xf numFmtId="0" fontId="16" fillId="4" borderId="18" xfId="1" applyFont="1" applyFill="1" applyBorder="1" applyAlignment="1">
      <alignment vertical="top"/>
    </xf>
    <xf numFmtId="0" fontId="16" fillId="4" borderId="15" xfId="1" applyFont="1" applyFill="1" applyBorder="1" applyAlignment="1">
      <alignment vertical="top"/>
    </xf>
    <xf numFmtId="0" fontId="17" fillId="3" borderId="7" xfId="0" applyFont="1" applyFill="1" applyBorder="1" applyAlignment="1">
      <alignment horizontal="center" vertical="top" wrapText="1"/>
    </xf>
    <xf numFmtId="0" fontId="0" fillId="4" borderId="0" xfId="0" applyFill="1"/>
    <xf numFmtId="0" fontId="16" fillId="4" borderId="27" xfId="1" applyFont="1" applyFill="1" applyBorder="1" applyAlignment="1">
      <alignment horizontal="center" vertical="top" wrapText="1"/>
    </xf>
    <xf numFmtId="0" fontId="24" fillId="4" borderId="13" xfId="0" applyFont="1" applyFill="1" applyBorder="1" applyAlignment="1">
      <alignment vertical="top" wrapText="1"/>
    </xf>
    <xf numFmtId="0" fontId="37" fillId="7" borderId="35" xfId="0" applyFont="1" applyFill="1" applyBorder="1" applyAlignment="1">
      <alignment horizontal="left" vertical="center"/>
    </xf>
    <xf numFmtId="0" fontId="34" fillId="8" borderId="2" xfId="0" applyFont="1" applyFill="1" applyBorder="1" applyAlignment="1">
      <alignment horizontal="left" vertical="center"/>
    </xf>
    <xf numFmtId="0" fontId="34" fillId="8" borderId="8" xfId="0" applyFont="1" applyFill="1" applyBorder="1" applyAlignment="1">
      <alignment horizontal="left" vertical="center"/>
    </xf>
    <xf numFmtId="0" fontId="34" fillId="4" borderId="0" xfId="0" applyFont="1" applyFill="1" applyAlignment="1">
      <alignment horizontal="right"/>
    </xf>
    <xf numFmtId="0" fontId="0" fillId="0" borderId="0" xfId="0" applyAlignment="1">
      <alignment horizontal="left" wrapText="1"/>
    </xf>
    <xf numFmtId="0" fontId="0" fillId="0" borderId="0" xfId="0" applyAlignment="1">
      <alignment wrapText="1"/>
    </xf>
    <xf numFmtId="0" fontId="34" fillId="8" borderId="36" xfId="0" applyFont="1" applyFill="1" applyBorder="1" applyAlignment="1">
      <alignment horizontal="left" vertical="top" wrapText="1"/>
    </xf>
    <xf numFmtId="0" fontId="34" fillId="8" borderId="37" xfId="0" applyFont="1" applyFill="1" applyBorder="1" applyAlignment="1">
      <alignment horizontal="left" vertical="top" wrapText="1"/>
    </xf>
    <xf numFmtId="0" fontId="23" fillId="0" borderId="39" xfId="0" applyFont="1" applyBorder="1" applyAlignment="1">
      <alignment vertical="center"/>
    </xf>
    <xf numFmtId="0" fontId="0" fillId="0" borderId="7" xfId="0" applyBorder="1" applyAlignment="1">
      <alignment vertical="center"/>
    </xf>
    <xf numFmtId="0" fontId="0" fillId="0" borderId="7" xfId="0" applyBorder="1" applyAlignment="1">
      <alignment vertical="center" wrapText="1"/>
    </xf>
    <xf numFmtId="0" fontId="0" fillId="0" borderId="39" xfId="0"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0" fillId="0" borderId="40" xfId="0" applyBorder="1" applyAlignment="1">
      <alignment vertical="center"/>
    </xf>
    <xf numFmtId="0" fontId="22" fillId="0" borderId="0" xfId="0" applyFont="1" applyAlignment="1">
      <alignment vertical="top" wrapText="1"/>
    </xf>
    <xf numFmtId="0" fontId="22" fillId="0" borderId="0" xfId="0" applyFont="1" applyAlignment="1">
      <alignment vertical="top"/>
    </xf>
    <xf numFmtId="0" fontId="0" fillId="0" borderId="7" xfId="0" applyBorder="1"/>
    <xf numFmtId="0" fontId="16" fillId="0" borderId="7" xfId="0" applyFont="1" applyBorder="1" applyAlignment="1">
      <alignment horizontal="center" vertical="top" wrapText="1"/>
    </xf>
    <xf numFmtId="0" fontId="5" fillId="0" borderId="7" xfId="0" applyFont="1" applyBorder="1" applyAlignment="1">
      <alignment vertical="center" wrapText="1"/>
    </xf>
    <xf numFmtId="0" fontId="12" fillId="0" borderId="5" xfId="0" applyFont="1" applyBorder="1" applyAlignment="1">
      <alignment vertical="center"/>
    </xf>
    <xf numFmtId="0" fontId="5" fillId="0" borderId="5" xfId="0" applyFont="1" applyBorder="1" applyAlignment="1">
      <alignment vertical="center" wrapText="1"/>
    </xf>
    <xf numFmtId="0" fontId="5" fillId="0" borderId="40" xfId="0" applyFont="1" applyBorder="1" applyAlignment="1">
      <alignment vertical="center"/>
    </xf>
    <xf numFmtId="0" fontId="5" fillId="0" borderId="7" xfId="0" applyFont="1" applyBorder="1" applyAlignment="1">
      <alignment vertical="center"/>
    </xf>
    <xf numFmtId="0" fontId="5" fillId="0" borderId="7" xfId="0" applyFont="1" applyBorder="1" applyAlignment="1">
      <alignment wrapText="1"/>
    </xf>
    <xf numFmtId="0" fontId="16" fillId="5" borderId="17" xfId="1" applyFont="1" applyFill="1" applyBorder="1" applyAlignment="1">
      <alignment vertical="top" wrapText="1"/>
    </xf>
    <xf numFmtId="3" fontId="0" fillId="0" borderId="7" xfId="0" applyNumberFormat="1" applyBorder="1" applyAlignment="1">
      <alignment vertical="center"/>
    </xf>
    <xf numFmtId="0" fontId="34" fillId="4" borderId="0" xfId="0" applyFont="1" applyFill="1" applyAlignment="1">
      <alignment horizontal="right" vertical="center"/>
    </xf>
    <xf numFmtId="3" fontId="0" fillId="0" borderId="0" xfId="0" applyNumberFormat="1" applyAlignment="1">
      <alignment horizontal="left" wrapText="1"/>
    </xf>
    <xf numFmtId="0" fontId="22" fillId="9" borderId="7" xfId="0" applyFont="1" applyFill="1" applyBorder="1" applyAlignment="1">
      <alignment horizontal="center" vertical="top"/>
    </xf>
    <xf numFmtId="0" fontId="22" fillId="9" borderId="7" xfId="0" applyFont="1" applyFill="1" applyBorder="1" applyAlignment="1">
      <alignment horizontal="left" vertical="top" wrapText="1"/>
    </xf>
    <xf numFmtId="0" fontId="23" fillId="0" borderId="7" xfId="0" applyFont="1" applyBorder="1" applyAlignment="1">
      <alignment horizontal="left" vertical="center" wrapText="1"/>
    </xf>
    <xf numFmtId="0" fontId="38" fillId="0" borderId="0" xfId="0" applyFont="1" applyAlignment="1">
      <alignment wrapText="1"/>
    </xf>
    <xf numFmtId="0" fontId="25" fillId="0" borderId="0" xfId="0" applyFont="1" applyAlignment="1">
      <alignment wrapText="1"/>
    </xf>
    <xf numFmtId="0" fontId="25" fillId="0" borderId="0" xfId="0" applyFont="1"/>
    <xf numFmtId="0" fontId="41" fillId="4" borderId="32" xfId="0" applyFont="1" applyFill="1" applyBorder="1" applyAlignment="1">
      <alignment horizontal="left" vertical="top"/>
    </xf>
    <xf numFmtId="0" fontId="34" fillId="8" borderId="44" xfId="0" applyFont="1" applyFill="1" applyBorder="1" applyAlignment="1">
      <alignment horizontal="left" vertical="top" wrapText="1"/>
    </xf>
    <xf numFmtId="0" fontId="34" fillId="8" borderId="38" xfId="0" applyFont="1" applyFill="1" applyBorder="1" applyAlignment="1">
      <alignment horizontal="left" vertical="top" wrapText="1"/>
    </xf>
    <xf numFmtId="0" fontId="34" fillId="8" borderId="45" xfId="0" applyFont="1" applyFill="1" applyBorder="1" applyAlignment="1">
      <alignment horizontal="left" vertical="top" wrapText="1"/>
    </xf>
    <xf numFmtId="0" fontId="0" fillId="0" borderId="46" xfId="0" applyBorder="1"/>
    <xf numFmtId="0" fontId="23" fillId="0" borderId="47" xfId="0" applyFont="1" applyBorder="1" applyAlignment="1">
      <alignment vertical="top" wrapText="1"/>
    </xf>
    <xf numFmtId="49" fontId="0" fillId="0" borderId="48" xfId="0" applyNumberFormat="1" applyBorder="1" applyProtection="1">
      <protection locked="0"/>
    </xf>
    <xf numFmtId="0" fontId="0" fillId="0" borderId="40" xfId="0" applyBorder="1"/>
    <xf numFmtId="3" fontId="0" fillId="0" borderId="49" xfId="0" applyNumberFormat="1" applyBorder="1" applyAlignment="1">
      <alignment vertical="center"/>
    </xf>
    <xf numFmtId="0" fontId="42" fillId="4" borderId="32" xfId="0" applyFont="1" applyFill="1" applyBorder="1" applyAlignment="1">
      <alignment horizontal="left" vertical="top"/>
    </xf>
    <xf numFmtId="0" fontId="42" fillId="4" borderId="0" xfId="0" applyFont="1" applyFill="1" applyAlignment="1">
      <alignment horizontal="left" vertical="top"/>
    </xf>
    <xf numFmtId="0" fontId="34" fillId="0" borderId="50" xfId="0" applyFont="1" applyBorder="1"/>
    <xf numFmtId="3" fontId="0" fillId="0" borderId="51" xfId="0" applyNumberFormat="1" applyBorder="1"/>
    <xf numFmtId="3" fontId="0" fillId="0" borderId="52" xfId="0" applyNumberFormat="1" applyBorder="1"/>
    <xf numFmtId="3" fontId="0" fillId="0" borderId="53" xfId="0" applyNumberFormat="1" applyBorder="1"/>
    <xf numFmtId="3" fontId="0" fillId="0" borderId="54" xfId="0" applyNumberFormat="1" applyBorder="1"/>
    <xf numFmtId="3" fontId="0" fillId="0" borderId="56" xfId="0" applyNumberFormat="1" applyBorder="1"/>
    <xf numFmtId="0" fontId="23" fillId="0" borderId="0" xfId="0" applyFont="1" applyAlignment="1">
      <alignment horizontal="left" vertical="center" wrapText="1"/>
    </xf>
    <xf numFmtId="3" fontId="13" fillId="5" borderId="7" xfId="0" applyNumberFormat="1" applyFont="1" applyFill="1" applyBorder="1" applyAlignment="1">
      <alignment vertical="center"/>
    </xf>
    <xf numFmtId="3" fontId="13" fillId="5" borderId="5" xfId="0" applyNumberFormat="1" applyFont="1" applyFill="1" applyBorder="1" applyAlignment="1">
      <alignment vertical="center"/>
    </xf>
    <xf numFmtId="3" fontId="13" fillId="5" borderId="40" xfId="0" applyNumberFormat="1" applyFont="1" applyFill="1" applyBorder="1" applyAlignment="1">
      <alignment vertical="center"/>
    </xf>
    <xf numFmtId="0" fontId="34" fillId="8" borderId="57" xfId="0" applyFont="1" applyFill="1" applyBorder="1" applyAlignment="1">
      <alignment horizontal="left" vertical="top" wrapText="1"/>
    </xf>
    <xf numFmtId="3" fontId="43" fillId="0" borderId="0" xfId="0" applyNumberFormat="1" applyFont="1" applyAlignment="1">
      <alignment horizontal="right"/>
    </xf>
    <xf numFmtId="0" fontId="17" fillId="0" borderId="0" xfId="0" applyFont="1" applyAlignment="1">
      <alignment horizontal="center" vertical="top" wrapText="1"/>
    </xf>
    <xf numFmtId="0" fontId="34" fillId="4" borderId="0" xfId="0" applyFont="1" applyFill="1" applyAlignment="1">
      <alignment horizontal="center" vertical="center"/>
    </xf>
    <xf numFmtId="3" fontId="0" fillId="10" borderId="0" xfId="0" applyNumberFormat="1" applyFill="1" applyAlignment="1" applyProtection="1">
      <alignment horizontal="left" wrapText="1"/>
      <protection locked="0"/>
    </xf>
    <xf numFmtId="0" fontId="30" fillId="0" borderId="0" xfId="0" applyFont="1"/>
    <xf numFmtId="0" fontId="24" fillId="0" borderId="0" xfId="0" applyFont="1"/>
    <xf numFmtId="0" fontId="24" fillId="0" borderId="0" xfId="0" applyFont="1" applyAlignment="1">
      <alignment wrapText="1"/>
    </xf>
    <xf numFmtId="0" fontId="37" fillId="7" borderId="1" xfId="0" applyFont="1" applyFill="1" applyBorder="1" applyAlignment="1">
      <alignment horizontal="left" vertical="center"/>
    </xf>
    <xf numFmtId="0" fontId="37" fillId="7" borderId="58" xfId="0" applyFont="1" applyFill="1" applyBorder="1" applyAlignment="1">
      <alignment horizontal="left" vertical="center"/>
    </xf>
    <xf numFmtId="0" fontId="22" fillId="9" borderId="6" xfId="0" applyFont="1" applyFill="1" applyBorder="1" applyAlignment="1">
      <alignment horizontal="left" vertical="top" wrapText="1"/>
    </xf>
    <xf numFmtId="0" fontId="34" fillId="0" borderId="0" xfId="0" applyFont="1" applyAlignment="1">
      <alignment horizontal="left" vertical="center"/>
    </xf>
    <xf numFmtId="0" fontId="0" fillId="0" borderId="0" xfId="0" applyAlignment="1">
      <alignment horizontal="left" vertical="center" wrapText="1"/>
    </xf>
    <xf numFmtId="3" fontId="0" fillId="0" borderId="0" xfId="0" applyNumberFormat="1" applyAlignment="1" applyProtection="1">
      <alignment horizontal="left" vertical="center" wrapText="1"/>
      <protection locked="0"/>
    </xf>
    <xf numFmtId="0" fontId="41" fillId="4" borderId="4" xfId="0" applyFont="1" applyFill="1" applyBorder="1" applyAlignment="1">
      <alignment horizontal="left" vertical="top"/>
    </xf>
    <xf numFmtId="0" fontId="41" fillId="4" borderId="3" xfId="0" applyFont="1" applyFill="1" applyBorder="1" applyAlignment="1">
      <alignment horizontal="left" vertical="top"/>
    </xf>
    <xf numFmtId="0" fontId="28" fillId="0" borderId="7" xfId="0" applyFont="1" applyBorder="1" applyAlignment="1">
      <alignment wrapText="1"/>
    </xf>
    <xf numFmtId="0" fontId="40" fillId="4" borderId="0" xfId="0" applyFont="1" applyFill="1"/>
    <xf numFmtId="0" fontId="34" fillId="8" borderId="7" xfId="0" applyFont="1" applyFill="1" applyBorder="1" applyAlignment="1">
      <alignment horizontal="left" vertical="top" wrapText="1"/>
    </xf>
    <xf numFmtId="49" fontId="34" fillId="8" borderId="7" xfId="0" applyNumberFormat="1" applyFont="1" applyFill="1" applyBorder="1" applyAlignment="1">
      <alignment horizontal="left" vertical="top" wrapText="1"/>
    </xf>
    <xf numFmtId="0" fontId="44" fillId="8" borderId="7" xfId="0" applyFont="1" applyFill="1" applyBorder="1" applyAlignment="1">
      <alignment horizontal="left" vertical="top" wrapText="1"/>
    </xf>
    <xf numFmtId="49" fontId="21" fillId="8" borderId="7" xfId="0" applyNumberFormat="1" applyFont="1" applyFill="1" applyBorder="1" applyAlignment="1">
      <alignment horizontal="left" vertical="top" wrapText="1"/>
    </xf>
    <xf numFmtId="0" fontId="21" fillId="8" borderId="7" xfId="0" applyFont="1" applyFill="1" applyBorder="1" applyAlignment="1">
      <alignment horizontal="left" vertical="top" wrapText="1"/>
    </xf>
    <xf numFmtId="0" fontId="45" fillId="0" borderId="0" xfId="0" applyFont="1"/>
    <xf numFmtId="0" fontId="16" fillId="0" borderId="16" xfId="0" applyFont="1" applyBorder="1" applyAlignment="1">
      <alignment vertical="top" wrapText="1"/>
    </xf>
    <xf numFmtId="0" fontId="16" fillId="0" borderId="19" xfId="7" applyFont="1" applyBorder="1" applyAlignment="1">
      <alignment vertical="top" wrapText="1"/>
    </xf>
    <xf numFmtId="3" fontId="0" fillId="4" borderId="0" xfId="0" applyNumberFormat="1" applyFill="1" applyAlignment="1">
      <alignment horizontal="left" vertical="center"/>
    </xf>
    <xf numFmtId="0" fontId="16" fillId="0" borderId="19" xfId="0" applyFont="1" applyBorder="1" applyAlignment="1">
      <alignment vertical="top" wrapText="1"/>
    </xf>
    <xf numFmtId="0" fontId="16" fillId="0" borderId="19" xfId="1" applyFont="1" applyBorder="1" applyAlignment="1">
      <alignment horizontal="left" vertical="top" wrapText="1"/>
    </xf>
    <xf numFmtId="0" fontId="16" fillId="0" borderId="41" xfId="1" applyFont="1" applyBorder="1" applyAlignment="1">
      <alignment horizontal="left" vertical="top" wrapText="1"/>
    </xf>
    <xf numFmtId="0" fontId="16" fillId="0" borderId="43" xfId="1" applyFont="1" applyBorder="1" applyAlignment="1">
      <alignment horizontal="center" vertical="top" wrapText="1"/>
    </xf>
    <xf numFmtId="0" fontId="16" fillId="0" borderId="42" xfId="1" applyFont="1" applyBorder="1" applyAlignment="1">
      <alignment horizontal="center" vertical="top" wrapText="1"/>
    </xf>
    <xf numFmtId="0" fontId="31" fillId="0" borderId="0" xfId="0" applyFont="1" applyAlignment="1">
      <alignment vertical="center"/>
    </xf>
    <xf numFmtId="0" fontId="16" fillId="5" borderId="20" xfId="1" applyFont="1" applyFill="1" applyBorder="1" applyAlignment="1">
      <alignment horizontal="center" vertical="top" wrapText="1"/>
    </xf>
    <xf numFmtId="0" fontId="16" fillId="4" borderId="16" xfId="1" applyFont="1" applyFill="1" applyBorder="1" applyAlignment="1">
      <alignment horizontal="left" vertical="top" wrapText="1"/>
    </xf>
    <xf numFmtId="0" fontId="16" fillId="4" borderId="17" xfId="1" applyFont="1" applyFill="1" applyBorder="1" applyAlignment="1">
      <alignment vertical="top" wrapText="1"/>
    </xf>
    <xf numFmtId="0" fontId="16" fillId="4" borderId="19" xfId="1" applyFont="1" applyFill="1" applyBorder="1" applyAlignment="1">
      <alignment horizontal="left" vertical="top" wrapText="1"/>
    </xf>
    <xf numFmtId="0" fontId="16" fillId="4" borderId="19" xfId="1" applyFont="1" applyFill="1" applyBorder="1" applyAlignment="1">
      <alignment horizontal="justify" vertical="justify" wrapText="1"/>
    </xf>
    <xf numFmtId="0" fontId="16" fillId="4" borderId="19" xfId="1" applyFont="1" applyFill="1" applyBorder="1" applyAlignment="1">
      <alignment vertical="top" wrapText="1"/>
    </xf>
    <xf numFmtId="0" fontId="19" fillId="4" borderId="19" xfId="1" applyFont="1" applyFill="1" applyBorder="1" applyAlignment="1">
      <alignment vertical="top" wrapText="1"/>
    </xf>
    <xf numFmtId="0" fontId="19" fillId="4" borderId="24" xfId="1" applyFont="1" applyFill="1" applyBorder="1" applyAlignment="1">
      <alignment vertical="top" wrapText="1"/>
    </xf>
    <xf numFmtId="0" fontId="19" fillId="4" borderId="22" xfId="1" applyFont="1" applyFill="1" applyBorder="1" applyAlignment="1">
      <alignment vertical="top" wrapText="1"/>
    </xf>
    <xf numFmtId="0" fontId="16" fillId="4" borderId="24" xfId="1" applyFont="1" applyFill="1" applyBorder="1" applyAlignment="1">
      <alignment vertical="top" wrapText="1"/>
    </xf>
    <xf numFmtId="0" fontId="16" fillId="0" borderId="0" xfId="1" applyFont="1" applyAlignment="1">
      <alignment horizontal="right" vertical="justify" wrapText="1"/>
    </xf>
    <xf numFmtId="0" fontId="16" fillId="4" borderId="16" xfId="1" applyFont="1" applyFill="1" applyBorder="1" applyAlignment="1">
      <alignment vertical="top" wrapText="1"/>
    </xf>
    <xf numFmtId="0" fontId="20" fillId="4" borderId="27" xfId="0" applyFont="1" applyFill="1" applyBorder="1" applyAlignment="1">
      <alignment horizontal="center" vertical="top" wrapText="1"/>
    </xf>
    <xf numFmtId="0" fontId="16" fillId="4" borderId="4" xfId="1" applyFont="1" applyFill="1" applyBorder="1" applyAlignment="1">
      <alignment vertical="top"/>
    </xf>
    <xf numFmtId="0" fontId="16" fillId="4" borderId="12" xfId="1" applyFont="1" applyFill="1" applyBorder="1" applyAlignment="1">
      <alignment vertical="top" wrapText="1"/>
    </xf>
    <xf numFmtId="0" fontId="16" fillId="4" borderId="29" xfId="1" applyFont="1" applyFill="1" applyBorder="1" applyAlignment="1">
      <alignment vertical="top" wrapText="1"/>
    </xf>
    <xf numFmtId="0" fontId="16" fillId="4" borderId="31" xfId="1" applyFont="1" applyFill="1" applyBorder="1" applyAlignment="1">
      <alignment horizontal="left" vertical="top" wrapText="1"/>
    </xf>
    <xf numFmtId="0" fontId="18" fillId="4" borderId="0" xfId="1" applyFont="1" applyFill="1" applyAlignment="1">
      <alignment vertical="top"/>
    </xf>
    <xf numFmtId="0" fontId="16" fillId="5" borderId="27" xfId="1" applyFont="1" applyFill="1" applyBorder="1" applyAlignment="1">
      <alignment horizontal="center" vertical="top" wrapText="1"/>
    </xf>
    <xf numFmtId="3" fontId="0" fillId="4" borderId="0" xfId="0" applyNumberFormat="1" applyFill="1"/>
    <xf numFmtId="0" fontId="16" fillId="4" borderId="34" xfId="1" applyFont="1" applyFill="1" applyBorder="1" applyAlignment="1">
      <alignment horizontal="center" vertical="top" wrapText="1"/>
    </xf>
    <xf numFmtId="0" fontId="16" fillId="4" borderId="25" xfId="0" applyFont="1" applyFill="1" applyBorder="1" applyAlignment="1">
      <alignment horizontal="left" vertical="top" wrapText="1"/>
    </xf>
    <xf numFmtId="0" fontId="16" fillId="4" borderId="0" xfId="0" applyFont="1" applyFill="1" applyAlignment="1">
      <alignment horizontal="left" vertical="top" wrapText="1"/>
    </xf>
    <xf numFmtId="0" fontId="16" fillId="4" borderId="0" xfId="6" applyFont="1" applyFill="1" applyAlignment="1">
      <alignment vertical="top"/>
    </xf>
    <xf numFmtId="0" fontId="16" fillId="4" borderId="19" xfId="2" applyFont="1" applyFill="1" applyBorder="1" applyAlignment="1">
      <alignment horizontal="left" vertical="top" wrapText="1"/>
    </xf>
    <xf numFmtId="0" fontId="16" fillId="4" borderId="29" xfId="1" applyFont="1" applyFill="1" applyBorder="1" applyAlignment="1">
      <alignment vertical="top"/>
    </xf>
    <xf numFmtId="0" fontId="16" fillId="4" borderId="30" xfId="0" applyFont="1" applyFill="1" applyBorder="1" applyAlignment="1">
      <alignment horizontal="left" vertical="top" wrapText="1"/>
    </xf>
    <xf numFmtId="0" fontId="16" fillId="4" borderId="28" xfId="0" applyFont="1" applyFill="1" applyBorder="1" applyAlignment="1">
      <alignment horizontal="left" vertical="top" wrapText="1"/>
    </xf>
    <xf numFmtId="0" fontId="16" fillId="4" borderId="26" xfId="2" applyFont="1" applyFill="1" applyBorder="1" applyAlignment="1">
      <alignment horizontal="left" vertical="top" wrapText="1"/>
    </xf>
    <xf numFmtId="0" fontId="16" fillId="5" borderId="34" xfId="1" applyFont="1" applyFill="1" applyBorder="1" applyAlignment="1">
      <alignment horizontal="center" vertical="top" wrapText="1"/>
    </xf>
    <xf numFmtId="0" fontId="34" fillId="4" borderId="0" xfId="0" applyFont="1" applyFill="1" applyAlignment="1">
      <alignment horizontal="right" vertical="center" wrapText="1"/>
    </xf>
    <xf numFmtId="0" fontId="22" fillId="0" borderId="0" xfId="0" applyFont="1" applyAlignment="1">
      <alignment horizontal="center" vertical="center" wrapText="1"/>
    </xf>
    <xf numFmtId="3" fontId="34" fillId="4" borderId="0" xfId="0" applyNumberFormat="1" applyFont="1" applyFill="1" applyAlignment="1">
      <alignment horizontal="left" vertical="center"/>
    </xf>
    <xf numFmtId="3" fontId="0" fillId="0" borderId="0" xfId="0" applyNumberFormat="1" applyAlignment="1" applyProtection="1">
      <alignment horizontal="left" vertical="center"/>
      <protection locked="0"/>
    </xf>
    <xf numFmtId="0" fontId="31" fillId="0" borderId="7" xfId="0" applyFont="1" applyBorder="1" applyAlignment="1">
      <alignment vertical="top"/>
    </xf>
    <xf numFmtId="0" fontId="31" fillId="0" borderId="7" xfId="0" applyFont="1" applyBorder="1"/>
    <xf numFmtId="0" fontId="24" fillId="0" borderId="7" xfId="0" applyFont="1" applyBorder="1" applyAlignment="1">
      <alignment wrapText="1"/>
    </xf>
    <xf numFmtId="0" fontId="31" fillId="0" borderId="7" xfId="0" applyFont="1" applyBorder="1" applyAlignment="1">
      <alignment wrapText="1"/>
    </xf>
    <xf numFmtId="0" fontId="23" fillId="0" borderId="7" xfId="0" applyFont="1" applyBorder="1"/>
    <xf numFmtId="0" fontId="5" fillId="0" borderId="39" xfId="0" applyFont="1" applyBorder="1" applyAlignment="1">
      <alignment vertical="center"/>
    </xf>
    <xf numFmtId="1" fontId="23" fillId="0" borderId="7" xfId="0" applyNumberFormat="1" applyFont="1" applyBorder="1" applyAlignment="1">
      <alignment horizontal="left" vertical="top"/>
    </xf>
    <xf numFmtId="0" fontId="23" fillId="0" borderId="11" xfId="0" applyFont="1" applyBorder="1" applyAlignment="1">
      <alignment wrapText="1"/>
    </xf>
    <xf numFmtId="0" fontId="23" fillId="0" borderId="7" xfId="0" applyFont="1" applyBorder="1" applyAlignment="1">
      <alignment vertical="top"/>
    </xf>
    <xf numFmtId="0" fontId="22" fillId="0" borderId="0" xfId="0" applyFont="1"/>
    <xf numFmtId="0" fontId="23" fillId="5" borderId="33" xfId="0" applyFont="1" applyFill="1" applyBorder="1" applyAlignment="1">
      <alignment wrapText="1"/>
    </xf>
    <xf numFmtId="0" fontId="16" fillId="4" borderId="20" xfId="1" applyFont="1" applyFill="1" applyBorder="1" applyAlignment="1">
      <alignment horizontal="center" vertical="top" wrapText="1"/>
    </xf>
    <xf numFmtId="0" fontId="16" fillId="4" borderId="15" xfId="1" applyFont="1" applyFill="1" applyBorder="1" applyAlignment="1">
      <alignment vertical="top" wrapText="1"/>
    </xf>
    <xf numFmtId="49" fontId="22" fillId="8" borderId="7" xfId="0" applyNumberFormat="1" applyFont="1" applyFill="1" applyBorder="1" applyAlignment="1">
      <alignment horizontal="left" vertical="top" wrapText="1"/>
    </xf>
    <xf numFmtId="0" fontId="16" fillId="0" borderId="0" xfId="1" applyFont="1" applyAlignment="1">
      <alignment horizontal="right" vertical="justify"/>
    </xf>
    <xf numFmtId="0" fontId="7" fillId="0" borderId="32" xfId="0" applyFont="1" applyBorder="1" applyAlignment="1">
      <alignment vertical="center"/>
    </xf>
    <xf numFmtId="3" fontId="7" fillId="0" borderId="0" xfId="0" applyNumberFormat="1" applyFont="1" applyAlignment="1">
      <alignment vertical="center"/>
    </xf>
    <xf numFmtId="0" fontId="5" fillId="0" borderId="40" xfId="0" applyFont="1" applyBorder="1" applyAlignment="1">
      <alignment vertical="center" wrapText="1"/>
    </xf>
    <xf numFmtId="0" fontId="0" fillId="4" borderId="39" xfId="0" applyFill="1" applyBorder="1" applyAlignment="1">
      <alignment vertical="center"/>
    </xf>
    <xf numFmtId="0" fontId="5" fillId="0" borderId="5" xfId="0" applyFont="1" applyBorder="1" applyAlignment="1">
      <alignment vertical="center"/>
    </xf>
    <xf numFmtId="2" fontId="0" fillId="0" borderId="7" xfId="0" applyNumberFormat="1" applyBorder="1"/>
    <xf numFmtId="0" fontId="5" fillId="0" borderId="32" xfId="0" applyFont="1" applyBorder="1" applyAlignment="1">
      <alignment horizontal="right" wrapText="1"/>
    </xf>
    <xf numFmtId="0" fontId="34" fillId="11" borderId="50" xfId="0" applyFont="1" applyFill="1" applyBorder="1"/>
    <xf numFmtId="3" fontId="34" fillId="11" borderId="55" xfId="0" applyNumberFormat="1" applyFont="1" applyFill="1" applyBorder="1"/>
    <xf numFmtId="3" fontId="46" fillId="0" borderId="7" xfId="0" applyNumberFormat="1" applyFont="1" applyBorder="1" applyAlignment="1">
      <alignment horizontal="right"/>
    </xf>
    <xf numFmtId="0" fontId="46" fillId="0" borderId="0" xfId="0" applyFont="1" applyAlignment="1">
      <alignment horizontal="right" wrapText="1"/>
    </xf>
    <xf numFmtId="3" fontId="46" fillId="0" borderId="0" xfId="0" applyNumberFormat="1" applyFont="1" applyAlignment="1">
      <alignment horizontal="right"/>
    </xf>
    <xf numFmtId="3" fontId="46" fillId="0" borderId="8" xfId="0" applyNumberFormat="1" applyFont="1" applyBorder="1" applyAlignment="1">
      <alignment horizontal="right"/>
    </xf>
    <xf numFmtId="0" fontId="5" fillId="0" borderId="60" xfId="0" applyFont="1" applyBorder="1"/>
    <xf numFmtId="0" fontId="0" fillId="0" borderId="61" xfId="0" applyBorder="1"/>
    <xf numFmtId="0" fontId="0" fillId="0" borderId="62" xfId="0" applyBorder="1"/>
    <xf numFmtId="4" fontId="46" fillId="0" borderId="7" xfId="0" applyNumberFormat="1" applyFont="1" applyBorder="1" applyAlignment="1">
      <alignment horizontal="right"/>
    </xf>
    <xf numFmtId="3" fontId="16" fillId="0" borderId="20" xfId="1" applyNumberFormat="1" applyFont="1" applyBorder="1" applyAlignment="1">
      <alignment horizontal="center" vertical="top" wrapText="1"/>
    </xf>
    <xf numFmtId="0" fontId="23" fillId="4" borderId="15" xfId="1" applyFont="1" applyFill="1" applyBorder="1" applyAlignment="1">
      <alignment vertical="top" wrapText="1"/>
    </xf>
    <xf numFmtId="49" fontId="16" fillId="0" borderId="7" xfId="0" applyNumberFormat="1" applyFont="1" applyBorder="1" applyAlignment="1">
      <alignment horizontal="left" vertical="top" wrapText="1"/>
    </xf>
    <xf numFmtId="49" fontId="19" fillId="0" borderId="7" xfId="0" applyNumberFormat="1" applyFont="1" applyBorder="1" applyAlignment="1">
      <alignment horizontal="left" vertical="top" wrapText="1"/>
    </xf>
    <xf numFmtId="0" fontId="17" fillId="4" borderId="0" xfId="1" applyFont="1" applyFill="1" applyAlignment="1">
      <alignment vertical="top"/>
    </xf>
    <xf numFmtId="0" fontId="23" fillId="4" borderId="7" xfId="0" applyFont="1" applyFill="1" applyBorder="1" applyAlignment="1">
      <alignment wrapText="1"/>
    </xf>
    <xf numFmtId="0" fontId="23" fillId="0" borderId="14" xfId="0" applyFont="1" applyBorder="1" applyAlignment="1">
      <alignment wrapText="1"/>
    </xf>
    <xf numFmtId="0" fontId="18" fillId="0" borderId="0" xfId="0" applyFont="1" applyAlignment="1">
      <alignment vertical="top"/>
    </xf>
    <xf numFmtId="0" fontId="50" fillId="0" borderId="0" xfId="0" applyFont="1" applyAlignment="1">
      <alignment horizontal="left" vertical="top"/>
    </xf>
    <xf numFmtId="0" fontId="18" fillId="4" borderId="0" xfId="1" applyFont="1" applyFill="1" applyAlignment="1">
      <alignment horizontal="left" vertical="top"/>
    </xf>
    <xf numFmtId="0" fontId="18" fillId="4" borderId="0" xfId="1" applyFont="1" applyFill="1"/>
    <xf numFmtId="0" fontId="18" fillId="0" borderId="0" xfId="1" applyFont="1" applyAlignment="1">
      <alignment vertical="top"/>
    </xf>
    <xf numFmtId="3" fontId="16" fillId="0" borderId="3" xfId="1" applyNumberFormat="1" applyFont="1" applyBorder="1" applyAlignment="1">
      <alignment horizontal="center" vertical="top" wrapText="1"/>
    </xf>
    <xf numFmtId="0" fontId="33" fillId="4" borderId="0" xfId="1" applyFont="1" applyFill="1" applyAlignment="1">
      <alignment vertical="top" wrapText="1"/>
    </xf>
    <xf numFmtId="0" fontId="16" fillId="0" borderId="0" xfId="1" applyFont="1" applyAlignment="1">
      <alignment horizontal="left" vertical="top" wrapText="1"/>
    </xf>
    <xf numFmtId="0" fontId="51" fillId="0" borderId="7" xfId="0" applyFont="1" applyBorder="1" applyAlignment="1">
      <alignment horizontal="center" vertical="top" wrapText="1"/>
    </xf>
    <xf numFmtId="0" fontId="19" fillId="0" borderId="41" xfId="1" applyFont="1" applyBorder="1" applyAlignment="1">
      <alignment horizontal="left" vertical="top" wrapText="1"/>
    </xf>
    <xf numFmtId="0" fontId="16" fillId="0" borderId="19" xfId="1" applyFont="1" applyBorder="1" applyAlignment="1">
      <alignment vertical="top" wrapText="1"/>
    </xf>
    <xf numFmtId="0" fontId="16" fillId="0" borderId="15" xfId="1" applyFont="1" applyBorder="1" applyAlignment="1">
      <alignment vertical="top"/>
    </xf>
    <xf numFmtId="0" fontId="16" fillId="0" borderId="17" xfId="1" applyFont="1" applyBorder="1" applyAlignment="1">
      <alignment vertical="top" wrapText="1"/>
    </xf>
    <xf numFmtId="0" fontId="16" fillId="0" borderId="0" xfId="1" applyFont="1" applyAlignment="1">
      <alignment vertical="top"/>
    </xf>
    <xf numFmtId="0" fontId="19" fillId="0" borderId="24" xfId="1" applyFont="1" applyBorder="1" applyAlignment="1">
      <alignment vertical="top" wrapText="1"/>
    </xf>
    <xf numFmtId="0" fontId="16" fillId="4" borderId="0" xfId="1" applyFont="1" applyFill="1" applyAlignment="1">
      <alignment vertical="top" wrapText="1"/>
    </xf>
    <xf numFmtId="0" fontId="16" fillId="0" borderId="16" xfId="1" applyFont="1" applyBorder="1" applyAlignment="1">
      <alignment horizontal="left" vertical="top" wrapText="1"/>
    </xf>
    <xf numFmtId="0" fontId="19" fillId="4" borderId="18" xfId="1" applyFont="1" applyFill="1" applyBorder="1" applyAlignment="1">
      <alignment vertical="top"/>
    </xf>
    <xf numFmtId="0" fontId="19" fillId="4" borderId="16" xfId="1" applyFont="1" applyFill="1" applyBorder="1" applyAlignment="1">
      <alignment horizontal="left" vertical="top" wrapText="1"/>
    </xf>
    <xf numFmtId="0" fontId="19" fillId="0" borderId="7" xfId="0" applyFont="1" applyBorder="1" applyAlignment="1">
      <alignment horizontal="center" vertical="top" wrapText="1"/>
    </xf>
    <xf numFmtId="0" fontId="50" fillId="4" borderId="34" xfId="1" applyFont="1" applyFill="1" applyBorder="1" applyAlignment="1">
      <alignment horizontal="center" vertical="top" wrapText="1"/>
    </xf>
    <xf numFmtId="3" fontId="23" fillId="0" borderId="33" xfId="0" applyNumberFormat="1" applyFont="1" applyBorder="1" applyAlignment="1">
      <alignment wrapText="1"/>
    </xf>
    <xf numFmtId="0" fontId="16" fillId="5" borderId="3" xfId="1" applyFont="1" applyFill="1" applyBorder="1" applyAlignment="1">
      <alignment horizontal="center" vertical="top" wrapText="1"/>
    </xf>
    <xf numFmtId="0" fontId="16" fillId="0" borderId="3" xfId="1" applyFont="1" applyBorder="1" applyAlignment="1">
      <alignment horizontal="center" vertical="top" wrapText="1"/>
    </xf>
    <xf numFmtId="0" fontId="7" fillId="0" borderId="0" xfId="0" applyFont="1"/>
    <xf numFmtId="0" fontId="33" fillId="0" borderId="41" xfId="1" applyFont="1" applyBorder="1" applyAlignment="1">
      <alignment horizontal="left" vertical="top" wrapText="1"/>
    </xf>
    <xf numFmtId="0" fontId="16" fillId="5" borderId="7" xfId="0" applyFont="1" applyFill="1" applyBorder="1" applyAlignment="1">
      <alignment horizontal="center" vertical="top" wrapText="1"/>
    </xf>
    <xf numFmtId="0" fontId="33" fillId="4" borderId="41" xfId="1" applyFont="1" applyFill="1" applyBorder="1" applyAlignment="1">
      <alignment horizontal="left" vertical="top" wrapText="1"/>
    </xf>
    <xf numFmtId="3" fontId="16" fillId="4" borderId="20" xfId="1" applyNumberFormat="1" applyFont="1" applyFill="1" applyBorder="1" applyAlignment="1">
      <alignment horizontal="center" vertical="top" wrapText="1"/>
    </xf>
    <xf numFmtId="0" fontId="16" fillId="4" borderId="0" xfId="0" applyFont="1" applyFill="1" applyAlignment="1">
      <alignment vertical="top"/>
    </xf>
    <xf numFmtId="0" fontId="31" fillId="4" borderId="0" xfId="0" applyFont="1" applyFill="1" applyAlignment="1">
      <alignment vertical="center"/>
    </xf>
    <xf numFmtId="0" fontId="33" fillId="4" borderId="0" xfId="1" applyFont="1" applyFill="1" applyAlignment="1">
      <alignment horizontal="left" vertical="top" wrapText="1"/>
    </xf>
    <xf numFmtId="0" fontId="16" fillId="4" borderId="7" xfId="0" applyFont="1" applyFill="1" applyBorder="1" applyAlignment="1">
      <alignment horizontal="center" vertical="top" wrapText="1"/>
    </xf>
    <xf numFmtId="0" fontId="19" fillId="4" borderId="20" xfId="1" applyFont="1" applyFill="1" applyBorder="1" applyAlignment="1">
      <alignment horizontal="center" vertical="top" wrapText="1"/>
    </xf>
    <xf numFmtId="0" fontId="0" fillId="0" borderId="0" xfId="0" applyAlignment="1">
      <alignment horizontal="center" vertical="center" wrapText="1"/>
    </xf>
    <xf numFmtId="0" fontId="0" fillId="0" borderId="0" xfId="0" applyAlignment="1">
      <alignment horizontal="center"/>
    </xf>
    <xf numFmtId="0" fontId="34" fillId="8" borderId="7" xfId="0" applyFont="1" applyFill="1" applyBorder="1" applyAlignment="1">
      <alignment horizontal="center" vertical="top" wrapText="1"/>
    </xf>
    <xf numFmtId="0" fontId="21" fillId="8" borderId="7" xfId="0" applyFont="1" applyFill="1" applyBorder="1" applyAlignment="1">
      <alignment horizontal="center" vertical="top" wrapText="1"/>
    </xf>
    <xf numFmtId="0" fontId="16" fillId="4" borderId="17" xfId="1" applyFont="1" applyFill="1" applyBorder="1" applyAlignment="1">
      <alignment horizontal="center" vertical="top" wrapText="1"/>
    </xf>
    <xf numFmtId="49" fontId="15" fillId="2" borderId="2" xfId="1" applyNumberFormat="1" applyFont="1" applyFill="1" applyBorder="1" applyAlignment="1">
      <alignment horizontal="center" vertical="top" wrapText="1"/>
    </xf>
    <xf numFmtId="0" fontId="53" fillId="0" borderId="0" xfId="0" applyFont="1" applyAlignment="1">
      <alignment vertical="center"/>
    </xf>
    <xf numFmtId="0" fontId="16" fillId="4" borderId="11" xfId="1" applyFont="1" applyFill="1" applyBorder="1" applyAlignment="1">
      <alignment vertical="top" wrapText="1"/>
    </xf>
    <xf numFmtId="0" fontId="16" fillId="0" borderId="0" xfId="0" applyFont="1" applyAlignment="1">
      <alignment horizontal="left" vertical="top"/>
    </xf>
    <xf numFmtId="0" fontId="16" fillId="4" borderId="7" xfId="1" applyFont="1" applyFill="1" applyBorder="1" applyAlignment="1">
      <alignment vertical="top"/>
    </xf>
    <xf numFmtId="0" fontId="5" fillId="4" borderId="0" xfId="0" applyFont="1" applyFill="1"/>
    <xf numFmtId="3" fontId="18" fillId="4" borderId="34" xfId="1" applyNumberFormat="1" applyFont="1" applyFill="1" applyBorder="1" applyAlignment="1">
      <alignment horizontal="center" vertical="top" wrapText="1"/>
    </xf>
    <xf numFmtId="0" fontId="5" fillId="0" borderId="59" xfId="0" applyFont="1" applyBorder="1"/>
    <xf numFmtId="3" fontId="0" fillId="0" borderId="63" xfId="0" applyNumberFormat="1" applyBorder="1"/>
    <xf numFmtId="0" fontId="16" fillId="0" borderId="7" xfId="1" applyFont="1" applyBorder="1" applyAlignment="1">
      <alignment horizontal="right" vertical="justify"/>
    </xf>
    <xf numFmtId="0" fontId="16" fillId="0" borderId="7" xfId="0" applyFont="1" applyBorder="1" applyAlignment="1">
      <alignment horizontal="center" vertical="center"/>
    </xf>
    <xf numFmtId="0" fontId="23" fillId="0" borderId="5" xfId="0" applyFont="1" applyBorder="1" applyAlignment="1">
      <alignment horizontal="center" vertical="center"/>
    </xf>
    <xf numFmtId="0" fontId="22" fillId="0" borderId="1" xfId="0" applyFont="1" applyBorder="1" applyAlignment="1">
      <alignment horizontal="center" vertical="center"/>
    </xf>
    <xf numFmtId="0" fontId="23" fillId="0" borderId="8" xfId="0" applyFont="1" applyBorder="1" applyAlignment="1">
      <alignment horizontal="center" vertical="center" wrapText="1"/>
    </xf>
    <xf numFmtId="0" fontId="16" fillId="4" borderId="9" xfId="1" applyFont="1" applyFill="1" applyBorder="1" applyAlignment="1">
      <alignment vertical="top"/>
    </xf>
    <xf numFmtId="0" fontId="16" fillId="4" borderId="0" xfId="2" applyFont="1" applyFill="1" applyAlignment="1">
      <alignment horizontal="left" vertical="top" wrapText="1"/>
    </xf>
    <xf numFmtId="0" fontId="5" fillId="0" borderId="7" xfId="0" applyFont="1" applyBorder="1"/>
    <xf numFmtId="0" fontId="23" fillId="0" borderId="39" xfId="0" applyFont="1" applyBorder="1" applyAlignment="1">
      <alignment vertical="top"/>
    </xf>
    <xf numFmtId="0" fontId="23" fillId="0" borderId="64" xfId="0" applyFont="1" applyBorder="1" applyAlignment="1">
      <alignment vertical="top"/>
    </xf>
    <xf numFmtId="0" fontId="34" fillId="8" borderId="57" xfId="0" applyFont="1" applyFill="1" applyBorder="1" applyAlignment="1">
      <alignment horizontal="left" wrapText="1"/>
    </xf>
    <xf numFmtId="0" fontId="23" fillId="0" borderId="39" xfId="0" applyFont="1" applyBorder="1"/>
    <xf numFmtId="49" fontId="6" fillId="2" borderId="2" xfId="1" applyNumberFormat="1" applyFont="1" applyFill="1" applyBorder="1" applyAlignment="1">
      <alignment horizontal="left" vertical="justify" wrapText="1"/>
    </xf>
    <xf numFmtId="49" fontId="6" fillId="2" borderId="8" xfId="1" applyNumberFormat="1" applyFont="1" applyFill="1" applyBorder="1" applyAlignment="1">
      <alignment horizontal="left" vertical="justify" wrapText="1"/>
    </xf>
    <xf numFmtId="49" fontId="6" fillId="2" borderId="12" xfId="1" applyNumberFormat="1" applyFont="1" applyFill="1" applyBorder="1" applyAlignment="1">
      <alignment horizontal="left" vertical="top" wrapText="1"/>
    </xf>
    <xf numFmtId="49" fontId="6" fillId="2" borderId="13" xfId="1" applyNumberFormat="1" applyFont="1" applyFill="1" applyBorder="1" applyAlignment="1">
      <alignment horizontal="left" vertical="top" wrapText="1"/>
    </xf>
    <xf numFmtId="49" fontId="6" fillId="2" borderId="10" xfId="1" applyNumberFormat="1" applyFont="1" applyFill="1" applyBorder="1" applyAlignment="1">
      <alignment horizontal="left" vertical="top" wrapText="1"/>
    </xf>
    <xf numFmtId="49" fontId="6" fillId="2" borderId="11" xfId="1" applyNumberFormat="1" applyFont="1" applyFill="1" applyBorder="1" applyAlignment="1">
      <alignment horizontal="left" vertical="top" wrapText="1"/>
    </xf>
    <xf numFmtId="49" fontId="6" fillId="2" borderId="2" xfId="0" applyNumberFormat="1" applyFont="1" applyFill="1" applyBorder="1" applyAlignment="1">
      <alignment horizontal="left" vertical="top" wrapText="1"/>
    </xf>
    <xf numFmtId="49" fontId="6" fillId="2" borderId="8" xfId="0" applyNumberFormat="1" applyFont="1" applyFill="1" applyBorder="1" applyAlignment="1">
      <alignment horizontal="left" vertical="top" wrapText="1"/>
    </xf>
    <xf numFmtId="49" fontId="6" fillId="2" borderId="10" xfId="0" applyNumberFormat="1" applyFont="1" applyFill="1" applyBorder="1" applyAlignment="1">
      <alignment horizontal="left" vertical="justify" wrapText="1"/>
    </xf>
    <xf numFmtId="49" fontId="6" fillId="2" borderId="11" xfId="0" applyNumberFormat="1" applyFont="1" applyFill="1" applyBorder="1" applyAlignment="1">
      <alignment horizontal="left" vertical="justify" wrapText="1"/>
    </xf>
    <xf numFmtId="49" fontId="6" fillId="2" borderId="12" xfId="0" applyNumberFormat="1" applyFont="1" applyFill="1" applyBorder="1" applyAlignment="1">
      <alignment horizontal="left" vertical="top" wrapText="1"/>
    </xf>
    <xf numFmtId="49" fontId="6" fillId="2" borderId="13" xfId="0" applyNumberFormat="1" applyFont="1" applyFill="1" applyBorder="1" applyAlignment="1">
      <alignment horizontal="left" vertical="top" wrapText="1"/>
    </xf>
  </cellXfs>
  <cellStyles count="13">
    <cellStyle name="Hyperlink" xfId="12" xr:uid="{00000000-000B-0000-0000-000008000000}"/>
    <cellStyle name="Normal" xfId="0" builtinId="0"/>
    <cellStyle name="Normal 10" xfId="1" xr:uid="{00000000-0005-0000-0000-000001000000}"/>
    <cellStyle name="Normal 11" xfId="2" xr:uid="{00000000-0005-0000-0000-000002000000}"/>
    <cellStyle name="Normal 2" xfId="9" xr:uid="{00000000-0005-0000-0000-000003000000}"/>
    <cellStyle name="Normal 2 2" xfId="11" xr:uid="{00000000-0005-0000-0000-000004000000}"/>
    <cellStyle name="Normal 3" xfId="3" xr:uid="{00000000-0005-0000-0000-000005000000}"/>
    <cellStyle name="Normal 4" xfId="10" xr:uid="{00000000-0005-0000-0000-000006000000}"/>
    <cellStyle name="Normal 5" xfId="4" xr:uid="{00000000-0005-0000-0000-000007000000}"/>
    <cellStyle name="Normal 6" xfId="5" xr:uid="{00000000-0005-0000-0000-000008000000}"/>
    <cellStyle name="Normal 7" xfId="6" xr:uid="{00000000-0005-0000-0000-000009000000}"/>
    <cellStyle name="Normal 8" xfId="7" xr:uid="{00000000-0005-0000-0000-00000A000000}"/>
    <cellStyle name="Normal 9" xfId="8"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D4D419"/>
      <color rgb="FFA1A1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ocumenttasks/documenttask1.xml><?xml version="1.0" encoding="utf-8"?>
<Tasks xmlns="http://schemas.microsoft.com/office/tasks/2019/documenttasks">
  <Task id="{EDEB9E9F-73C4-44EF-A0DB-70E098B31C12}">
    <Anchor>
      <Comment id="{8D5FFDCF-F9C8-451A-A3A9-F2860DA29914}"/>
    </Anchor>
    <History>
      <Event time="2025-08-21T08:16:20.87" id="{0042AE10-AE02-4F84-8033-807C6980567B}">
        <Attribution userId="S::linda.hoglund@huddinge.se::3424d3d2-7715-4bf8-9bc0-15fecbef5785" userName="Höglund, Linda" userProvider="AD"/>
        <Anchor>
          <Comment id="{8D5FFDCF-F9C8-451A-A3A9-F2860DA29914}"/>
        </Anchor>
        <Create/>
      </Event>
      <Event time="2025-08-21T08:16:20.87" id="{690DE6D8-625A-416F-9EFE-9161E9DDE4D3}">
        <Attribution userId="S::linda.hoglund@huddinge.se::3424d3d2-7715-4bf8-9bc0-15fecbef5785" userName="Höglund, Linda" userProvider="AD"/>
        <Anchor>
          <Comment id="{8D5FFDCF-F9C8-451A-A3A9-F2860DA29914}"/>
        </Anchor>
        <Assign userId="S::Julia.Prasolova@huddinge.se::eddec56e-e47d-4f5d-90e8-efc6162fea8f" userName="Prasolova, Julia" userProvider="AD"/>
      </Event>
      <Event time="2025-08-21T08:16:20.87" id="{31BF594E-DDE1-4165-B9A5-74BE7C6AD9CA}">
        <Attribution userId="S::linda.hoglund@huddinge.se::3424d3d2-7715-4bf8-9bc0-15fecbef5785" userName="Höglund, Linda" userProvider="AD"/>
        <Anchor>
          <Comment id="{8D5FFDCF-F9C8-451A-A3A9-F2860DA29914}"/>
        </Anchor>
        <SetTitle title="@Prasolova, Julia"/>
      </Event>
    </History>
  </Task>
</Tasks>
</file>

<file path=xl/documenttasks/documenttask2.xml><?xml version="1.0" encoding="utf-8"?>
<Tasks xmlns="http://schemas.microsoft.com/office/tasks/2019/documenttasks">
  <Task id="{B11FA1E4-D4A7-4CDE-A56D-464C63AA3C92}">
    <Anchor>
      <Comment id="{D64BC974-1945-4CBD-9CC5-BE2F9E2A132F}"/>
    </Anchor>
    <History>
      <Event time="2025-08-21T08:31:18.96" id="{C6D2DB6F-19CD-4B9F-AC90-5528FF094289}">
        <Attribution userId="S::Linda.Hoglund@huddinge.se::3424d3d2-7715-4bf8-9bc0-15fecbef5785" userName="Höglund, Linda" userProvider="AD"/>
        <Anchor>
          <Comment id="{D64BC974-1945-4CBD-9CC5-BE2F9E2A132F}"/>
        </Anchor>
        <Create/>
      </Event>
      <Event time="2025-08-21T08:31:18.96" id="{CF7F3D5B-2324-4DEB-9D13-401869350EBB}">
        <Attribution userId="S::Linda.Hoglund@huddinge.se::3424d3d2-7715-4bf8-9bc0-15fecbef5785" userName="Höglund, Linda" userProvider="AD"/>
        <Anchor>
          <Comment id="{D64BC974-1945-4CBD-9CC5-BE2F9E2A132F}"/>
        </Anchor>
        <Assign userId="S::Julia.Prasolova@huddinge.se::eddec56e-e47d-4f5d-90e8-efc6162fea8f" userName="Prasolova, Julia" userProvider="AD"/>
      </Event>
      <Event time="2025-08-21T08:31:18.96" id="{88680359-F15F-48DE-8758-44AC1E44A124}">
        <Attribution userId="S::Linda.Hoglund@huddinge.se::3424d3d2-7715-4bf8-9bc0-15fecbef5785" userName="Höglund, Linda" userProvider="AD"/>
        <Anchor>
          <Comment id="{D64BC974-1945-4CBD-9CC5-BE2F9E2A132F}"/>
        </Anchor>
        <SetTitle title="@Prasolova, Julia"/>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4409721</xdr:colOff>
      <xdr:row>0</xdr:row>
      <xdr:rowOff>25400</xdr:rowOff>
    </xdr:from>
    <xdr:to>
      <xdr:col>0</xdr:col>
      <xdr:colOff>5008386</xdr:colOff>
      <xdr:row>0</xdr:row>
      <xdr:rowOff>244710</xdr:rowOff>
    </xdr:to>
    <xdr:pic>
      <xdr:nvPicPr>
        <xdr:cNvPr id="6" name="Bildobjekt 3">
          <a:extLst>
            <a:ext uri="{FF2B5EF4-FFF2-40B4-BE49-F238E27FC236}">
              <a16:creationId xmlns:a16="http://schemas.microsoft.com/office/drawing/2014/main" id="{F605BD94-1200-4726-8ECE-A59C4C539829}"/>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4409721" y="25400"/>
          <a:ext cx="598665" cy="219310"/>
        </a:xfrm>
        <a:prstGeom prst="rect">
          <a:avLst/>
        </a:prstGeom>
      </xdr:spPr>
    </xdr:pic>
    <xdr:clientData/>
  </xdr:twoCellAnchor>
  <xdr:twoCellAnchor>
    <xdr:from>
      <xdr:col>2</xdr:col>
      <xdr:colOff>6350</xdr:colOff>
      <xdr:row>1</xdr:row>
      <xdr:rowOff>38100</xdr:rowOff>
    </xdr:from>
    <xdr:to>
      <xdr:col>4</xdr:col>
      <xdr:colOff>6350</xdr:colOff>
      <xdr:row>2</xdr:row>
      <xdr:rowOff>95250</xdr:rowOff>
    </xdr:to>
    <xdr:sp macro="" textlink="">
      <xdr:nvSpPr>
        <xdr:cNvPr id="9" name="textruta 8">
          <a:extLst>
            <a:ext uri="{FF2B5EF4-FFF2-40B4-BE49-F238E27FC236}">
              <a16:creationId xmlns:a16="http://schemas.microsoft.com/office/drawing/2014/main" id="{0C2EF9D1-E7CC-42D6-913D-0FF026A70160}"/>
            </a:ext>
            <a:ext uri="{147F2762-F138-4A5C-976F-8EAC2B608ADB}">
              <a16:predDERef xmlns:a16="http://schemas.microsoft.com/office/drawing/2014/main" pred="{F605BD94-1200-4726-8ECE-A59C4C539829}"/>
            </a:ext>
          </a:extLst>
        </xdr:cNvPr>
        <xdr:cNvSpPr txBox="1"/>
      </xdr:nvSpPr>
      <xdr:spPr>
        <a:xfrm>
          <a:off x="7105650" y="292100"/>
          <a:ext cx="1689100" cy="215900"/>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i="1">
              <a:solidFill>
                <a:schemeClr val="dk1"/>
              </a:solidFill>
              <a:latin typeface="+mn-lt"/>
              <a:ea typeface="+mn-lt"/>
              <a:cs typeface="+mn-lt"/>
            </a:rPr>
            <a:t>gula fält ifylls av anbudsgivaren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4019550</xdr:colOff>
      <xdr:row>0</xdr:row>
      <xdr:rowOff>6350</xdr:rowOff>
    </xdr:from>
    <xdr:to>
      <xdr:col>1</xdr:col>
      <xdr:colOff>4935216</xdr:colOff>
      <xdr:row>0</xdr:row>
      <xdr:rowOff>245648</xdr:rowOff>
    </xdr:to>
    <xdr:pic>
      <xdr:nvPicPr>
        <xdr:cNvPr id="4" name="Bildobjekt 3">
          <a:extLst>
            <a:ext uri="{FF2B5EF4-FFF2-40B4-BE49-F238E27FC236}">
              <a16:creationId xmlns:a16="http://schemas.microsoft.com/office/drawing/2014/main" id="{20D6B058-5311-436B-87F3-2911CBA214E8}"/>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4451350" y="6350"/>
          <a:ext cx="915666" cy="239298"/>
        </a:xfrm>
        <a:prstGeom prst="rect">
          <a:avLst/>
        </a:prstGeom>
      </xdr:spPr>
    </xdr:pic>
    <xdr:clientData/>
  </xdr:twoCellAnchor>
  <xdr:twoCellAnchor>
    <xdr:from>
      <xdr:col>3</xdr:col>
      <xdr:colOff>28575</xdr:colOff>
      <xdr:row>1</xdr:row>
      <xdr:rowOff>0</xdr:rowOff>
    </xdr:from>
    <xdr:to>
      <xdr:col>4</xdr:col>
      <xdr:colOff>619125</xdr:colOff>
      <xdr:row>1</xdr:row>
      <xdr:rowOff>234950</xdr:rowOff>
    </xdr:to>
    <xdr:sp macro="" textlink="">
      <xdr:nvSpPr>
        <xdr:cNvPr id="5" name="textruta 4">
          <a:extLst>
            <a:ext uri="{FF2B5EF4-FFF2-40B4-BE49-F238E27FC236}">
              <a16:creationId xmlns:a16="http://schemas.microsoft.com/office/drawing/2014/main" id="{7FBEF206-166F-4069-8095-7FBA03419165}"/>
            </a:ext>
            <a:ext uri="{147F2762-F138-4A5C-976F-8EAC2B608ADB}">
              <a16:predDERef xmlns:a16="http://schemas.microsoft.com/office/drawing/2014/main" pred="{20D6B058-5311-436B-87F3-2911CBA214E8}"/>
            </a:ext>
          </a:extLst>
        </xdr:cNvPr>
        <xdr:cNvSpPr txBox="1"/>
      </xdr:nvSpPr>
      <xdr:spPr>
        <a:xfrm>
          <a:off x="6708775" y="254000"/>
          <a:ext cx="1778000" cy="234950"/>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i="1">
              <a:solidFill>
                <a:schemeClr val="dk1"/>
              </a:solidFill>
              <a:latin typeface="+mn-lt"/>
              <a:ea typeface="+mn-lt"/>
              <a:cs typeface="+mn-lt"/>
            </a:rPr>
            <a:t>gula fält ifylls av anbudsgivaren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4695080</xdr:colOff>
      <xdr:row>0</xdr:row>
      <xdr:rowOff>0</xdr:rowOff>
    </xdr:from>
    <xdr:to>
      <xdr:col>2</xdr:col>
      <xdr:colOff>123</xdr:colOff>
      <xdr:row>0</xdr:row>
      <xdr:rowOff>241010</xdr:rowOff>
    </xdr:to>
    <xdr:pic>
      <xdr:nvPicPr>
        <xdr:cNvPr id="4" name="Bildobjekt 3">
          <a:extLst>
            <a:ext uri="{FF2B5EF4-FFF2-40B4-BE49-F238E27FC236}">
              <a16:creationId xmlns:a16="http://schemas.microsoft.com/office/drawing/2014/main" id="{6CD7DD54-38FD-4B25-9F3A-E026436B1E61}"/>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5104655" y="0"/>
          <a:ext cx="715119" cy="237835"/>
        </a:xfrm>
        <a:prstGeom prst="rect">
          <a:avLst/>
        </a:prstGeom>
      </xdr:spPr>
    </xdr:pic>
    <xdr:clientData/>
  </xdr:twoCellAnchor>
  <xdr:twoCellAnchor>
    <xdr:from>
      <xdr:col>2</xdr:col>
      <xdr:colOff>0</xdr:colOff>
      <xdr:row>1</xdr:row>
      <xdr:rowOff>0</xdr:rowOff>
    </xdr:from>
    <xdr:to>
      <xdr:col>4</xdr:col>
      <xdr:colOff>12700</xdr:colOff>
      <xdr:row>1</xdr:row>
      <xdr:rowOff>234950</xdr:rowOff>
    </xdr:to>
    <xdr:sp macro="" textlink="">
      <xdr:nvSpPr>
        <xdr:cNvPr id="5" name="textruta 4">
          <a:extLst>
            <a:ext uri="{FF2B5EF4-FFF2-40B4-BE49-F238E27FC236}">
              <a16:creationId xmlns:a16="http://schemas.microsoft.com/office/drawing/2014/main" id="{6D1C91C2-C0FC-4F84-A1F3-15A75081AC31}"/>
            </a:ext>
            <a:ext uri="{147F2762-F138-4A5C-976F-8EAC2B608ADB}">
              <a16:predDERef xmlns:a16="http://schemas.microsoft.com/office/drawing/2014/main" pred="{20D6B058-5311-436B-87F3-2911CBA214E8}"/>
            </a:ext>
          </a:extLst>
        </xdr:cNvPr>
        <xdr:cNvSpPr txBox="1"/>
      </xdr:nvSpPr>
      <xdr:spPr>
        <a:xfrm>
          <a:off x="6216650" y="254000"/>
          <a:ext cx="1905000" cy="234950"/>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i="1">
              <a:solidFill>
                <a:schemeClr val="dk1"/>
              </a:solidFill>
              <a:latin typeface="+mn-lt"/>
              <a:ea typeface="+mn-lt"/>
              <a:cs typeface="+mn-lt"/>
            </a:rPr>
            <a:t>gula fält ifylls av anbudsgivaren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3786909</xdr:colOff>
      <xdr:row>0</xdr:row>
      <xdr:rowOff>0</xdr:rowOff>
    </xdr:from>
    <xdr:to>
      <xdr:col>2</xdr:col>
      <xdr:colOff>124</xdr:colOff>
      <xdr:row>0</xdr:row>
      <xdr:rowOff>254025</xdr:rowOff>
    </xdr:to>
    <xdr:pic>
      <xdr:nvPicPr>
        <xdr:cNvPr id="4" name="Bildobjekt 3">
          <a:extLst>
            <a:ext uri="{FF2B5EF4-FFF2-40B4-BE49-F238E27FC236}">
              <a16:creationId xmlns:a16="http://schemas.microsoft.com/office/drawing/2014/main" id="{CA032C8D-51C4-4059-A249-F1B85274C907}"/>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4266045" y="0"/>
          <a:ext cx="918565" cy="254025"/>
        </a:xfrm>
        <a:prstGeom prst="rect">
          <a:avLst/>
        </a:prstGeom>
      </xdr:spPr>
    </xdr:pic>
    <xdr:clientData/>
  </xdr:twoCellAnchor>
  <xdr:twoCellAnchor>
    <xdr:from>
      <xdr:col>3</xdr:col>
      <xdr:colOff>82714</xdr:colOff>
      <xdr:row>1</xdr:row>
      <xdr:rowOff>21817</xdr:rowOff>
    </xdr:from>
    <xdr:to>
      <xdr:col>5</xdr:col>
      <xdr:colOff>0</xdr:colOff>
      <xdr:row>1</xdr:row>
      <xdr:rowOff>260512</xdr:rowOff>
    </xdr:to>
    <xdr:sp macro="" textlink="">
      <xdr:nvSpPr>
        <xdr:cNvPr id="5" name="textruta 4">
          <a:extLst>
            <a:ext uri="{FF2B5EF4-FFF2-40B4-BE49-F238E27FC236}">
              <a16:creationId xmlns:a16="http://schemas.microsoft.com/office/drawing/2014/main" id="{757A3413-F573-4B2B-9F83-9C216183466F}"/>
            </a:ext>
            <a:ext uri="{147F2762-F138-4A5C-976F-8EAC2B608ADB}">
              <a16:predDERef xmlns:a16="http://schemas.microsoft.com/office/drawing/2014/main" pred="{CA032C8D-51C4-4059-A249-F1B85274C907}"/>
            </a:ext>
          </a:extLst>
        </xdr:cNvPr>
        <xdr:cNvSpPr txBox="1"/>
      </xdr:nvSpPr>
      <xdr:spPr>
        <a:xfrm>
          <a:off x="5130150" y="274189"/>
          <a:ext cx="1594338" cy="238695"/>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i="1">
              <a:solidFill>
                <a:schemeClr val="dk1"/>
              </a:solidFill>
              <a:latin typeface="+mn-lt"/>
              <a:ea typeface="+mn-lt"/>
              <a:cs typeface="+mn-lt"/>
            </a:rPr>
            <a:t>gula fält ifylls av anbudsgivaren</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3146778</xdr:colOff>
      <xdr:row>0</xdr:row>
      <xdr:rowOff>0</xdr:rowOff>
    </xdr:from>
    <xdr:to>
      <xdr:col>1</xdr:col>
      <xdr:colOff>3817056</xdr:colOff>
      <xdr:row>0</xdr:row>
      <xdr:rowOff>246944</xdr:rowOff>
    </xdr:to>
    <xdr:pic>
      <xdr:nvPicPr>
        <xdr:cNvPr id="6" name="Bildobjekt 5">
          <a:extLst>
            <a:ext uri="{FF2B5EF4-FFF2-40B4-BE49-F238E27FC236}">
              <a16:creationId xmlns:a16="http://schemas.microsoft.com/office/drawing/2014/main" id="{5B5E09D9-DC0B-4E68-BCCF-A22B0100BDA4}"/>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3626556" y="0"/>
          <a:ext cx="670278" cy="246944"/>
        </a:xfrm>
        <a:prstGeom prst="rect">
          <a:avLst/>
        </a:prstGeom>
      </xdr:spPr>
    </xdr:pic>
    <xdr:clientData/>
  </xdr:twoCellAnchor>
  <xdr:twoCellAnchor>
    <xdr:from>
      <xdr:col>2</xdr:col>
      <xdr:colOff>307974</xdr:colOff>
      <xdr:row>1</xdr:row>
      <xdr:rowOff>19347</xdr:rowOff>
    </xdr:from>
    <xdr:to>
      <xdr:col>4</xdr:col>
      <xdr:colOff>8465</xdr:colOff>
      <xdr:row>1</xdr:row>
      <xdr:rowOff>245181</xdr:rowOff>
    </xdr:to>
    <xdr:sp macro="" textlink="">
      <xdr:nvSpPr>
        <xdr:cNvPr id="7" name="textruta 6">
          <a:extLst>
            <a:ext uri="{FF2B5EF4-FFF2-40B4-BE49-F238E27FC236}">
              <a16:creationId xmlns:a16="http://schemas.microsoft.com/office/drawing/2014/main" id="{D2F458FE-E440-46A6-BE19-28BBE9CAB5E3}"/>
            </a:ext>
            <a:ext uri="{147F2762-F138-4A5C-976F-8EAC2B608ADB}">
              <a16:predDERef xmlns:a16="http://schemas.microsoft.com/office/drawing/2014/main" pred="{5B5E09D9-DC0B-4E68-BCCF-A22B0100BDA4}"/>
            </a:ext>
          </a:extLst>
        </xdr:cNvPr>
        <xdr:cNvSpPr txBox="1"/>
      </xdr:nvSpPr>
      <xdr:spPr>
        <a:xfrm>
          <a:off x="4870449" y="276522"/>
          <a:ext cx="1662641" cy="225834"/>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i="1">
              <a:solidFill>
                <a:schemeClr val="dk1"/>
              </a:solidFill>
              <a:latin typeface="+mn-lt"/>
              <a:ea typeface="+mn-lt"/>
              <a:cs typeface="+mn-lt"/>
            </a:rPr>
            <a:t>gula fält ifylls av anbudsgivaren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4077104</xdr:colOff>
      <xdr:row>0</xdr:row>
      <xdr:rowOff>18143</xdr:rowOff>
    </xdr:from>
    <xdr:to>
      <xdr:col>2</xdr:col>
      <xdr:colOff>972</xdr:colOff>
      <xdr:row>1</xdr:row>
      <xdr:rowOff>8328</xdr:rowOff>
    </xdr:to>
    <xdr:pic>
      <xdr:nvPicPr>
        <xdr:cNvPr id="4" name="Bildobjekt 3">
          <a:extLst>
            <a:ext uri="{FF2B5EF4-FFF2-40B4-BE49-F238E27FC236}">
              <a16:creationId xmlns:a16="http://schemas.microsoft.com/office/drawing/2014/main" id="{AF75D8A1-DE03-433F-9BE8-2BCD6B7C0B25}"/>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4553354" y="18143"/>
          <a:ext cx="733993" cy="242889"/>
        </a:xfrm>
        <a:prstGeom prst="rect">
          <a:avLst/>
        </a:prstGeom>
      </xdr:spPr>
    </xdr:pic>
    <xdr:clientData/>
  </xdr:twoCellAnchor>
  <xdr:twoCellAnchor>
    <xdr:from>
      <xdr:col>1</xdr:col>
      <xdr:colOff>2235200</xdr:colOff>
      <xdr:row>1</xdr:row>
      <xdr:rowOff>34925</xdr:rowOff>
    </xdr:from>
    <xdr:to>
      <xdr:col>4</xdr:col>
      <xdr:colOff>46523</xdr:colOff>
      <xdr:row>1</xdr:row>
      <xdr:rowOff>284973</xdr:rowOff>
    </xdr:to>
    <xdr:sp macro="" textlink="">
      <xdr:nvSpPr>
        <xdr:cNvPr id="7" name="textruta 6">
          <a:extLst>
            <a:ext uri="{FF2B5EF4-FFF2-40B4-BE49-F238E27FC236}">
              <a16:creationId xmlns:a16="http://schemas.microsoft.com/office/drawing/2014/main" id="{B8DFE2F1-37B2-4B6E-BB61-705673C61CC2}"/>
            </a:ext>
            <a:ext uri="{147F2762-F138-4A5C-976F-8EAC2B608ADB}">
              <a16:predDERef xmlns:a16="http://schemas.microsoft.com/office/drawing/2014/main" pred="{AF75D8A1-DE03-433F-9BE8-2BCD6B7C0B25}"/>
            </a:ext>
          </a:extLst>
        </xdr:cNvPr>
        <xdr:cNvSpPr txBox="1"/>
      </xdr:nvSpPr>
      <xdr:spPr>
        <a:xfrm>
          <a:off x="2711450" y="288925"/>
          <a:ext cx="4688373" cy="2500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solidFill>
                <a:srgbClr val="C00000"/>
              </a:solidFill>
            </a:rPr>
            <a:t>OBS! Anbudsgivaren</a:t>
          </a:r>
          <a:r>
            <a:rPr lang="sv-SE" sz="1100" b="1" baseline="0">
              <a:solidFill>
                <a:srgbClr val="C00000"/>
              </a:solidFill>
            </a:rPr>
            <a:t> ska inte fylla i uppgifter i denna flik!  Endast ska-krav</a:t>
          </a:r>
          <a:endParaRPr lang="sv-SE" sz="1100" b="1">
            <a:solidFill>
              <a:srgbClr val="C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3448050</xdr:colOff>
      <xdr:row>0</xdr:row>
      <xdr:rowOff>1</xdr:rowOff>
    </xdr:from>
    <xdr:to>
      <xdr:col>1</xdr:col>
      <xdr:colOff>4133849</xdr:colOff>
      <xdr:row>1</xdr:row>
      <xdr:rowOff>0</xdr:rowOff>
    </xdr:to>
    <xdr:pic>
      <xdr:nvPicPr>
        <xdr:cNvPr id="4" name="Bildobjekt 3">
          <a:extLst>
            <a:ext uri="{FF2B5EF4-FFF2-40B4-BE49-F238E27FC236}">
              <a16:creationId xmlns:a16="http://schemas.microsoft.com/office/drawing/2014/main" id="{447265CB-B396-455E-B34A-3E9D59A4EAD0}"/>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4248150" y="1"/>
          <a:ext cx="844549" cy="247649"/>
        </a:xfrm>
        <a:prstGeom prst="rect">
          <a:avLst/>
        </a:prstGeom>
      </xdr:spPr>
    </xdr:pic>
    <xdr:clientData/>
  </xdr:twoCellAnchor>
  <xdr:twoCellAnchor>
    <xdr:from>
      <xdr:col>1</xdr:col>
      <xdr:colOff>1454150</xdr:colOff>
      <xdr:row>1</xdr:row>
      <xdr:rowOff>25400</xdr:rowOff>
    </xdr:from>
    <xdr:to>
      <xdr:col>3</xdr:col>
      <xdr:colOff>774700</xdr:colOff>
      <xdr:row>1</xdr:row>
      <xdr:rowOff>266700</xdr:rowOff>
    </xdr:to>
    <xdr:sp macro="" textlink="">
      <xdr:nvSpPr>
        <xdr:cNvPr id="2" name="textruta 1">
          <a:extLst>
            <a:ext uri="{FF2B5EF4-FFF2-40B4-BE49-F238E27FC236}">
              <a16:creationId xmlns:a16="http://schemas.microsoft.com/office/drawing/2014/main" id="{B65D014C-2536-46B6-901B-7D22594905F8}"/>
            </a:ext>
          </a:extLst>
        </xdr:cNvPr>
        <xdr:cNvSpPr txBox="1"/>
      </xdr:nvSpPr>
      <xdr:spPr>
        <a:xfrm>
          <a:off x="2254250" y="279400"/>
          <a:ext cx="473075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solidFill>
                <a:srgbClr val="C00000"/>
              </a:solidFill>
            </a:rPr>
            <a:t>OBS! Anbudsgivaren</a:t>
          </a:r>
          <a:r>
            <a:rPr lang="sv-SE" sz="1100" b="1" baseline="0">
              <a:solidFill>
                <a:srgbClr val="C00000"/>
              </a:solidFill>
            </a:rPr>
            <a:t> ska inte fylla i uppgifter i denna flik!  Endast ska-krav</a:t>
          </a:r>
          <a:endParaRPr lang="sv-SE" sz="1100" b="1">
            <a:solidFill>
              <a:srgbClr val="C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5687391</xdr:colOff>
      <xdr:row>0</xdr:row>
      <xdr:rowOff>11044</xdr:rowOff>
    </xdr:from>
    <xdr:to>
      <xdr:col>1</xdr:col>
      <xdr:colOff>6423760</xdr:colOff>
      <xdr:row>0</xdr:row>
      <xdr:rowOff>238402</xdr:rowOff>
    </xdr:to>
    <xdr:pic>
      <xdr:nvPicPr>
        <xdr:cNvPr id="4" name="Bildobjekt 3">
          <a:extLst>
            <a:ext uri="{FF2B5EF4-FFF2-40B4-BE49-F238E27FC236}">
              <a16:creationId xmlns:a16="http://schemas.microsoft.com/office/drawing/2014/main" id="{7B574344-D27C-400A-872A-0824641B27B8}"/>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6156739" y="11044"/>
          <a:ext cx="736369" cy="227358"/>
        </a:xfrm>
        <a:prstGeom prst="rect">
          <a:avLst/>
        </a:prstGeom>
      </xdr:spPr>
    </xdr:pic>
    <xdr:clientData/>
  </xdr:twoCellAnchor>
  <xdr:twoCellAnchor>
    <xdr:from>
      <xdr:col>2</xdr:col>
      <xdr:colOff>11646</xdr:colOff>
      <xdr:row>1</xdr:row>
      <xdr:rowOff>47923</xdr:rowOff>
    </xdr:from>
    <xdr:to>
      <xdr:col>4</xdr:col>
      <xdr:colOff>7057</xdr:colOff>
      <xdr:row>1</xdr:row>
      <xdr:rowOff>275167</xdr:rowOff>
    </xdr:to>
    <xdr:sp macro="" textlink="">
      <xdr:nvSpPr>
        <xdr:cNvPr id="5" name="textruta 4">
          <a:extLst>
            <a:ext uri="{FF2B5EF4-FFF2-40B4-BE49-F238E27FC236}">
              <a16:creationId xmlns:a16="http://schemas.microsoft.com/office/drawing/2014/main" id="{F7B0D010-EA20-4842-AE1B-720057400DD3}"/>
            </a:ext>
            <a:ext uri="{147F2762-F138-4A5C-976F-8EAC2B608ADB}">
              <a16:predDERef xmlns:a16="http://schemas.microsoft.com/office/drawing/2014/main" pred="{7B574344-D27C-400A-872A-0824641B27B8}"/>
            </a:ext>
          </a:extLst>
        </xdr:cNvPr>
        <xdr:cNvSpPr txBox="1"/>
      </xdr:nvSpPr>
      <xdr:spPr>
        <a:xfrm>
          <a:off x="5564368" y="301923"/>
          <a:ext cx="1787522" cy="227244"/>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i="1">
              <a:solidFill>
                <a:schemeClr val="dk1"/>
              </a:solidFill>
              <a:latin typeface="+mn-lt"/>
              <a:ea typeface="+mn-lt"/>
              <a:cs typeface="+mn-lt"/>
            </a:rPr>
            <a:t>gula fält ifylls av anbudsgivaren</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4859951</xdr:colOff>
      <xdr:row>0</xdr:row>
      <xdr:rowOff>24671</xdr:rowOff>
    </xdr:from>
    <xdr:to>
      <xdr:col>1</xdr:col>
      <xdr:colOff>5634225</xdr:colOff>
      <xdr:row>0</xdr:row>
      <xdr:rowOff>225677</xdr:rowOff>
    </xdr:to>
    <xdr:pic>
      <xdr:nvPicPr>
        <xdr:cNvPr id="5" name="Bildobjekt 3">
          <a:extLst>
            <a:ext uri="{FF2B5EF4-FFF2-40B4-BE49-F238E27FC236}">
              <a16:creationId xmlns:a16="http://schemas.microsoft.com/office/drawing/2014/main" id="{F13957D9-A017-437E-92DF-11ECCB43020F}"/>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5457228" y="24671"/>
          <a:ext cx="774274" cy="201006"/>
        </a:xfrm>
        <a:prstGeom prst="rect">
          <a:avLst/>
        </a:prstGeom>
      </xdr:spPr>
    </xdr:pic>
    <xdr:clientData/>
  </xdr:twoCellAnchor>
  <xdr:twoCellAnchor>
    <xdr:from>
      <xdr:col>2</xdr:col>
      <xdr:colOff>22174</xdr:colOff>
      <xdr:row>1</xdr:row>
      <xdr:rowOff>16129</xdr:rowOff>
    </xdr:from>
    <xdr:to>
      <xdr:col>4</xdr:col>
      <xdr:colOff>7055</xdr:colOff>
      <xdr:row>1</xdr:row>
      <xdr:rowOff>208039</xdr:rowOff>
    </xdr:to>
    <xdr:sp macro="" textlink="">
      <xdr:nvSpPr>
        <xdr:cNvPr id="3" name="textruta 2">
          <a:extLst>
            <a:ext uri="{FF2B5EF4-FFF2-40B4-BE49-F238E27FC236}">
              <a16:creationId xmlns:a16="http://schemas.microsoft.com/office/drawing/2014/main" id="{D1C55EED-E933-4559-9D55-9A8E00B9311A}"/>
            </a:ext>
            <a:ext uri="{147F2762-F138-4A5C-976F-8EAC2B608ADB}">
              <a16:predDERef xmlns:a16="http://schemas.microsoft.com/office/drawing/2014/main" pred="{F13957D9-A017-437E-92DF-11ECCB43020F}"/>
            </a:ext>
          </a:extLst>
        </xdr:cNvPr>
        <xdr:cNvSpPr txBox="1"/>
      </xdr:nvSpPr>
      <xdr:spPr>
        <a:xfrm>
          <a:off x="5737174" y="270129"/>
          <a:ext cx="1608667" cy="191910"/>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i="1">
              <a:solidFill>
                <a:schemeClr val="dk1"/>
              </a:solidFill>
              <a:latin typeface="+mn-lt"/>
              <a:ea typeface="+mn-lt"/>
              <a:cs typeface="+mn-lt"/>
            </a:rPr>
            <a:t>gula fält ifylls av anbudsgivaren</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4563630</xdr:colOff>
      <xdr:row>0</xdr:row>
      <xdr:rowOff>0</xdr:rowOff>
    </xdr:from>
    <xdr:to>
      <xdr:col>1</xdr:col>
      <xdr:colOff>5333999</xdr:colOff>
      <xdr:row>0</xdr:row>
      <xdr:rowOff>237419</xdr:rowOff>
    </xdr:to>
    <xdr:pic>
      <xdr:nvPicPr>
        <xdr:cNvPr id="2" name="Bildobjekt 1">
          <a:extLst>
            <a:ext uri="{FF2B5EF4-FFF2-40B4-BE49-F238E27FC236}">
              <a16:creationId xmlns:a16="http://schemas.microsoft.com/office/drawing/2014/main" id="{AD6A1654-6FC5-4DC5-89DC-0B23EF00A666}"/>
            </a:ext>
            <a:ext uri="{147F2762-F138-4A5C-976F-8EAC2B608ADB}">
              <a16:predDERef xmlns:a16="http://schemas.microsoft.com/office/drawing/2014/main" pred="{BEB44153-9A83-45DA-A429-87F6656276D0}"/>
            </a:ext>
          </a:extLst>
        </xdr:cNvPr>
        <xdr:cNvPicPr>
          <a:picLocks noChangeAspect="1"/>
        </xdr:cNvPicPr>
      </xdr:nvPicPr>
      <xdr:blipFill>
        <a:blip xmlns:r="http://schemas.openxmlformats.org/officeDocument/2006/relationships" r:embed="rId1"/>
        <a:stretch>
          <a:fillRect/>
        </a:stretch>
      </xdr:blipFill>
      <xdr:spPr>
        <a:xfrm>
          <a:off x="5182755" y="0"/>
          <a:ext cx="770369" cy="240594"/>
        </a:xfrm>
        <a:prstGeom prst="rect">
          <a:avLst/>
        </a:prstGeom>
      </xdr:spPr>
    </xdr:pic>
    <xdr:clientData/>
  </xdr:twoCellAnchor>
  <xdr:twoCellAnchor>
    <xdr:from>
      <xdr:col>1</xdr:col>
      <xdr:colOff>1886857</xdr:colOff>
      <xdr:row>1</xdr:row>
      <xdr:rowOff>18143</xdr:rowOff>
    </xdr:from>
    <xdr:to>
      <xdr:col>3</xdr:col>
      <xdr:colOff>0</xdr:colOff>
      <xdr:row>1</xdr:row>
      <xdr:rowOff>259443</xdr:rowOff>
    </xdr:to>
    <xdr:sp macro="" textlink="">
      <xdr:nvSpPr>
        <xdr:cNvPr id="4" name="textruta 3">
          <a:extLst>
            <a:ext uri="{FF2B5EF4-FFF2-40B4-BE49-F238E27FC236}">
              <a16:creationId xmlns:a16="http://schemas.microsoft.com/office/drawing/2014/main" id="{A7F60D9F-B491-4916-A6B2-3C006C5147B4}"/>
            </a:ext>
          </a:extLst>
        </xdr:cNvPr>
        <xdr:cNvSpPr txBox="1"/>
      </xdr:nvSpPr>
      <xdr:spPr>
        <a:xfrm>
          <a:off x="2503714" y="272143"/>
          <a:ext cx="5011737"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solidFill>
                <a:srgbClr val="C00000"/>
              </a:solidFill>
            </a:rPr>
            <a:t>OBS! Anbudsgivaren</a:t>
          </a:r>
          <a:r>
            <a:rPr lang="sv-SE" sz="1100" b="1" baseline="0">
              <a:solidFill>
                <a:srgbClr val="C00000"/>
              </a:solidFill>
            </a:rPr>
            <a:t> ska inte fylla i uppgifter i denna flik!  Endast ska-krav</a:t>
          </a:r>
          <a:endParaRPr lang="sv-SE" sz="1100" b="1">
            <a:solidFill>
              <a:srgbClr val="C0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84138</xdr:colOff>
      <xdr:row>0</xdr:row>
      <xdr:rowOff>0</xdr:rowOff>
    </xdr:from>
    <xdr:to>
      <xdr:col>3</xdr:col>
      <xdr:colOff>11112</xdr:colOff>
      <xdr:row>1</xdr:row>
      <xdr:rowOff>25500</xdr:rowOff>
    </xdr:to>
    <xdr:pic>
      <xdr:nvPicPr>
        <xdr:cNvPr id="4" name="Bildobjekt 3" descr="Logotyp Huddinge kommun" title="Logotyp Huddinge kommun">
          <a:extLst>
            <a:ext uri="{FF2B5EF4-FFF2-40B4-BE49-F238E27FC236}">
              <a16:creationId xmlns:a16="http://schemas.microsoft.com/office/drawing/2014/main" id="{E2978042-AAF2-4A5A-85FE-E3D174337B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6" y="0"/>
          <a:ext cx="825499" cy="214413"/>
        </a:xfrm>
        <a:prstGeom prst="rect">
          <a:avLst/>
        </a:prstGeom>
        <a:noFill/>
        <a:ln>
          <a:noFill/>
        </a:ln>
      </xdr:spPr>
    </xdr:pic>
    <xdr:clientData/>
  </xdr:twoCellAnchor>
  <xdr:twoCellAnchor>
    <xdr:from>
      <xdr:col>3</xdr:col>
      <xdr:colOff>2046111</xdr:colOff>
      <xdr:row>1</xdr:row>
      <xdr:rowOff>0</xdr:rowOff>
    </xdr:from>
    <xdr:to>
      <xdr:col>5</xdr:col>
      <xdr:colOff>1065389</xdr:colOff>
      <xdr:row>1</xdr:row>
      <xdr:rowOff>246945</xdr:rowOff>
    </xdr:to>
    <xdr:sp macro="" textlink="">
      <xdr:nvSpPr>
        <xdr:cNvPr id="3" name="textruta 2">
          <a:extLst>
            <a:ext uri="{FF2B5EF4-FFF2-40B4-BE49-F238E27FC236}">
              <a16:creationId xmlns:a16="http://schemas.microsoft.com/office/drawing/2014/main" id="{BF1EF220-5BCC-4634-AE26-2896E2BFB3A4}"/>
            </a:ext>
            <a:ext uri="{147F2762-F138-4A5C-976F-8EAC2B608ADB}">
              <a16:predDERef xmlns:a16="http://schemas.microsoft.com/office/drawing/2014/main" pred="{E2978042-AAF2-4A5A-85FE-E3D174337BA7}"/>
            </a:ext>
          </a:extLst>
        </xdr:cNvPr>
        <xdr:cNvSpPr txBox="1"/>
      </xdr:nvSpPr>
      <xdr:spPr>
        <a:xfrm>
          <a:off x="5926667" y="183444"/>
          <a:ext cx="1947333" cy="246945"/>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b="0" i="1"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De </a:t>
          </a:r>
          <a:r>
            <a:rPr lang="en-US" sz="800" i="1">
              <a:solidFill>
                <a:schemeClr val="dk1"/>
              </a:solidFill>
              <a:latin typeface="+mn-lt"/>
              <a:ea typeface="+mn-lt"/>
              <a:cs typeface="+mn-lt"/>
            </a:rPr>
            <a:t>gula fälten ifylls av anbudsgivaren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105063</xdr:colOff>
      <xdr:row>0</xdr:row>
      <xdr:rowOff>320965</xdr:rowOff>
    </xdr:from>
    <xdr:to>
      <xdr:col>5</xdr:col>
      <xdr:colOff>434686</xdr:colOff>
      <xdr:row>1</xdr:row>
      <xdr:rowOff>226291</xdr:rowOff>
    </xdr:to>
    <xdr:sp macro="" textlink="">
      <xdr:nvSpPr>
        <xdr:cNvPr id="6" name="textruta 5">
          <a:extLst>
            <a:ext uri="{FF2B5EF4-FFF2-40B4-BE49-F238E27FC236}">
              <a16:creationId xmlns:a16="http://schemas.microsoft.com/office/drawing/2014/main" id="{5CEB36D9-DB55-47FC-9409-D5CD8778B3EB}"/>
            </a:ext>
          </a:extLst>
        </xdr:cNvPr>
        <xdr:cNvSpPr txBox="1"/>
      </xdr:nvSpPr>
      <xdr:spPr>
        <a:xfrm>
          <a:off x="5340927" y="320965"/>
          <a:ext cx="3643168"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solidFill>
                <a:srgbClr val="C00000"/>
              </a:solidFill>
            </a:rPr>
            <a:t>OBS! Anbudsgivaren</a:t>
          </a:r>
          <a:r>
            <a:rPr lang="sv-SE" sz="1100" b="1" baseline="0">
              <a:solidFill>
                <a:srgbClr val="C00000"/>
              </a:solidFill>
            </a:rPr>
            <a:t> ska inte fylla i uppgifter i denna flik! </a:t>
          </a:r>
          <a:endParaRPr lang="sv-SE" sz="1100" b="1">
            <a:solidFill>
              <a:srgbClr val="C00000"/>
            </a:solidFill>
          </a:endParaRPr>
        </a:p>
      </xdr:txBody>
    </xdr:sp>
    <xdr:clientData/>
  </xdr:twoCellAnchor>
  <xdr:twoCellAnchor editAs="oneCell">
    <xdr:from>
      <xdr:col>0</xdr:col>
      <xdr:colOff>3314700</xdr:colOff>
      <xdr:row>0</xdr:row>
      <xdr:rowOff>39101</xdr:rowOff>
    </xdr:from>
    <xdr:to>
      <xdr:col>1</xdr:col>
      <xdr:colOff>0</xdr:colOff>
      <xdr:row>0</xdr:row>
      <xdr:rowOff>278374</xdr:rowOff>
    </xdr:to>
    <xdr:pic>
      <xdr:nvPicPr>
        <xdr:cNvPr id="7" name="Bildobjekt 6">
          <a:extLst>
            <a:ext uri="{FF2B5EF4-FFF2-40B4-BE49-F238E27FC236}">
              <a16:creationId xmlns:a16="http://schemas.microsoft.com/office/drawing/2014/main" id="{2BA4E09D-8FD2-41E2-A0FA-A9E59B40BE4B}"/>
            </a:ext>
          </a:extLst>
        </xdr:cNvPr>
        <xdr:cNvPicPr>
          <a:picLocks noChangeAspect="1"/>
        </xdr:cNvPicPr>
      </xdr:nvPicPr>
      <xdr:blipFill>
        <a:blip xmlns:r="http://schemas.openxmlformats.org/officeDocument/2006/relationships" r:embed="rId1"/>
        <a:stretch>
          <a:fillRect/>
        </a:stretch>
      </xdr:blipFill>
      <xdr:spPr>
        <a:xfrm>
          <a:off x="3314700" y="39101"/>
          <a:ext cx="647700" cy="242448"/>
        </a:xfrm>
        <a:prstGeom prst="rect">
          <a:avLst/>
        </a:prstGeom>
      </xdr:spPr>
    </xdr:pic>
    <xdr:clientData/>
  </xdr:twoCellAnchor>
  <xdr:twoCellAnchor>
    <xdr:from>
      <xdr:col>0</xdr:col>
      <xdr:colOff>3908859</xdr:colOff>
      <xdr:row>4</xdr:row>
      <xdr:rowOff>89388</xdr:rowOff>
    </xdr:from>
    <xdr:to>
      <xdr:col>3</xdr:col>
      <xdr:colOff>1093611</xdr:colOff>
      <xdr:row>17</xdr:row>
      <xdr:rowOff>44450</xdr:rowOff>
    </xdr:to>
    <xdr:sp macro="" textlink="">
      <xdr:nvSpPr>
        <xdr:cNvPr id="8" name="textruta 7">
          <a:extLst>
            <a:ext uri="{FF2B5EF4-FFF2-40B4-BE49-F238E27FC236}">
              <a16:creationId xmlns:a16="http://schemas.microsoft.com/office/drawing/2014/main" id="{4F5D2BB7-A31F-4A6E-BF46-75DB14F5CAB0}"/>
            </a:ext>
          </a:extLst>
        </xdr:cNvPr>
        <xdr:cNvSpPr txBox="1"/>
      </xdr:nvSpPr>
      <xdr:spPr>
        <a:xfrm>
          <a:off x="3908859" y="1458166"/>
          <a:ext cx="3908696" cy="2600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sv-SE" sz="1100" u="sng">
              <a:solidFill>
                <a:schemeClr val="dk1"/>
              </a:solidFill>
              <a:effectLst/>
              <a:latin typeface="+mn-lt"/>
              <a:ea typeface="+mn-ea"/>
              <a:cs typeface="+mn-cs"/>
            </a:rPr>
            <a:t>Följande betygsskala ska</a:t>
          </a:r>
          <a:r>
            <a:rPr lang="sv-SE" sz="1100" u="sng" baseline="0">
              <a:solidFill>
                <a:schemeClr val="dk1"/>
              </a:solidFill>
              <a:effectLst/>
              <a:latin typeface="+mn-lt"/>
              <a:ea typeface="+mn-ea"/>
              <a:cs typeface="+mn-cs"/>
            </a:rPr>
            <a:t> användas</a:t>
          </a:r>
          <a:r>
            <a:rPr lang="sv-SE" sz="1100" baseline="0">
              <a:solidFill>
                <a:schemeClr val="dk1"/>
              </a:solidFill>
              <a:effectLst/>
              <a:latin typeface="+mn-lt"/>
              <a:ea typeface="+mn-ea"/>
              <a:cs typeface="+mn-cs"/>
            </a:rPr>
            <a:t>:</a:t>
          </a:r>
        </a:p>
        <a:p>
          <a:pPr lvl="0"/>
          <a:endParaRPr lang="sv-SE" sz="1100">
            <a:solidFill>
              <a:schemeClr val="dk1"/>
            </a:solidFill>
            <a:effectLst/>
            <a:latin typeface="+mn-lt"/>
            <a:ea typeface="+mn-ea"/>
            <a:cs typeface="+mn-cs"/>
          </a:endParaRPr>
        </a:p>
        <a:p>
          <a:pPr lvl="0"/>
          <a:r>
            <a:rPr lang="sv-SE" sz="1100">
              <a:solidFill>
                <a:schemeClr val="dk1"/>
              </a:solidFill>
              <a:effectLst/>
              <a:latin typeface="+mn-lt"/>
              <a:ea typeface="+mn-ea"/>
              <a:cs typeface="+mn-cs"/>
            </a:rPr>
            <a:t>-Betyget "Mycket väl godkänt" (tydligt mervärde utifrån bedömningspunkterna enligt ovan, inga brister av betydelse) ger det maximala avdraget </a:t>
          </a:r>
        </a:p>
        <a:p>
          <a:pPr lvl="0"/>
          <a:endParaRPr lang="sv-SE" sz="1100">
            <a:solidFill>
              <a:schemeClr val="dk1"/>
            </a:solidFill>
            <a:effectLst/>
            <a:latin typeface="+mn-lt"/>
            <a:ea typeface="+mn-ea"/>
            <a:cs typeface="+mn-cs"/>
          </a:endParaRPr>
        </a:p>
        <a:p>
          <a:pPr lvl="0"/>
          <a:r>
            <a:rPr lang="sv-SE" sz="1100">
              <a:solidFill>
                <a:schemeClr val="dk1"/>
              </a:solidFill>
              <a:effectLst/>
              <a:latin typeface="+mn-lt"/>
              <a:ea typeface="+mn-ea"/>
              <a:cs typeface="+mn-cs"/>
            </a:rPr>
            <a:t>-Betyget "Väl Godkänt" (visst mervärde utifrån bedömningspunkterna enligt ovan, några få brister av ringa betydelse) ger ett avdrag på 50 % av maximalt avdrag </a:t>
          </a:r>
        </a:p>
        <a:p>
          <a:pPr lvl="0"/>
          <a:endParaRPr lang="sv-SE" sz="1100">
            <a:solidFill>
              <a:schemeClr val="dk1"/>
            </a:solidFill>
            <a:effectLst/>
            <a:latin typeface="+mn-lt"/>
            <a:ea typeface="+mn-ea"/>
            <a:cs typeface="+mn-cs"/>
          </a:endParaRPr>
        </a:p>
        <a:p>
          <a:pPr lvl="0"/>
          <a:r>
            <a:rPr lang="sv-SE" sz="1100">
              <a:solidFill>
                <a:schemeClr val="dk1"/>
              </a:solidFill>
              <a:effectLst/>
              <a:latin typeface="+mn-lt"/>
              <a:ea typeface="+mn-ea"/>
              <a:cs typeface="+mn-cs"/>
            </a:rPr>
            <a:t>-Betyget “Godkänt” (inget mervärde utifrån bedömningspunkterna och några brister av mindre/viss betydelse, dock uppfyller tjänsten minsta acceptabla nivå enligt grundkraven) ger inget avdrag.</a:t>
          </a:r>
        </a:p>
        <a:p>
          <a:endParaRPr lang="sv-SE" sz="1100"/>
        </a:p>
      </xdr:txBody>
    </xdr:sp>
    <xdr:clientData/>
  </xdr:twoCellAnchor>
  <xdr:twoCellAnchor>
    <xdr:from>
      <xdr:col>4</xdr:col>
      <xdr:colOff>28863</xdr:colOff>
      <xdr:row>1</xdr:row>
      <xdr:rowOff>304222</xdr:rowOff>
    </xdr:from>
    <xdr:to>
      <xdr:col>9</xdr:col>
      <xdr:colOff>529166</xdr:colOff>
      <xdr:row>17</xdr:row>
      <xdr:rowOff>49389</xdr:rowOff>
    </xdr:to>
    <xdr:sp macro="" textlink="">
      <xdr:nvSpPr>
        <xdr:cNvPr id="9" name="textruta 8">
          <a:extLst>
            <a:ext uri="{FF2B5EF4-FFF2-40B4-BE49-F238E27FC236}">
              <a16:creationId xmlns:a16="http://schemas.microsoft.com/office/drawing/2014/main" id="{74AB1F5E-291E-49BA-A3CA-E0F9DCF98291}"/>
            </a:ext>
          </a:extLst>
        </xdr:cNvPr>
        <xdr:cNvSpPr txBox="1"/>
      </xdr:nvSpPr>
      <xdr:spPr>
        <a:xfrm>
          <a:off x="7853474" y="628778"/>
          <a:ext cx="3188470" cy="34352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u="sng"/>
            <a:t>Följande bedömningspunkter</a:t>
          </a:r>
          <a:r>
            <a:rPr lang="sv-SE" sz="1100" u="sng" baseline="0"/>
            <a:t> ska ligga till grund för betyg</a:t>
          </a:r>
          <a:r>
            <a:rPr lang="sv-SE" sz="1100" baseline="0"/>
            <a:t>:</a:t>
          </a:r>
        </a:p>
        <a:p>
          <a:endParaRPr lang="sv-SE" sz="1100" baseline="0">
            <a:solidFill>
              <a:schemeClr val="tx1"/>
            </a:solidFill>
          </a:endParaRPr>
        </a:p>
        <a:p>
          <a:pPr lvl="0"/>
          <a:r>
            <a:rPr lang="sv-SE" sz="1100" i="1">
              <a:solidFill>
                <a:schemeClr val="tx1"/>
              </a:solidFill>
              <a:effectLst/>
              <a:latin typeface="+mn-lt"/>
              <a:ea typeface="+mn-ea"/>
              <a:cs typeface="+mn-cs"/>
            </a:rPr>
            <a:t>-Anpassning- och utvecklingsfokus </a:t>
          </a:r>
          <a:r>
            <a:rPr lang="sv-SE" sz="1100">
              <a:solidFill>
                <a:schemeClr val="tx1"/>
              </a:solidFill>
              <a:effectLst/>
              <a:latin typeface="+mn-lt"/>
              <a:ea typeface="+mn-ea"/>
              <a:cs typeface="+mn-cs"/>
            </a:rPr>
            <a:t>– öppenhet för kunddialog, flexibilitet, lyhördhet för kundens behov, potential och tydliga rutiner för kundanpassade lösningar, förutsättningar till samverkan/kommunikation som leder till ständiga förbättringar</a:t>
          </a:r>
        </a:p>
        <a:p>
          <a:pPr lvl="0"/>
          <a:endParaRPr lang="sv-SE" sz="1100">
            <a:solidFill>
              <a:schemeClr val="tx1"/>
            </a:solidFill>
            <a:effectLst/>
            <a:latin typeface="+mn-lt"/>
            <a:ea typeface="+mn-ea"/>
            <a:cs typeface="+mn-cs"/>
          </a:endParaRPr>
        </a:p>
        <a:p>
          <a:pPr lvl="0"/>
          <a:r>
            <a:rPr lang="sv-SE" sz="1100" i="1">
              <a:solidFill>
                <a:schemeClr val="tx1"/>
              </a:solidFill>
              <a:effectLst/>
              <a:latin typeface="+mn-lt"/>
              <a:ea typeface="+mn-ea"/>
              <a:cs typeface="+mn-cs"/>
            </a:rPr>
            <a:t>- Marknadsfokus </a:t>
          </a:r>
          <a:r>
            <a:rPr lang="sv-SE" sz="1100">
              <a:solidFill>
                <a:schemeClr val="tx1"/>
              </a:solidFill>
              <a:effectLst/>
              <a:latin typeface="+mn-lt"/>
              <a:ea typeface="+mn-ea"/>
              <a:cs typeface="+mn-cs"/>
            </a:rPr>
            <a:t>– strukturerad omvärldsbevakning,  potential att fånga och tillgodose marknadens behov på ett strukturerat</a:t>
          </a:r>
          <a:r>
            <a:rPr lang="sv-SE" sz="1100" baseline="0">
              <a:solidFill>
                <a:schemeClr val="tx1"/>
              </a:solidFill>
              <a:effectLst/>
              <a:latin typeface="+mn-lt"/>
              <a:ea typeface="+mn-ea"/>
              <a:cs typeface="+mn-cs"/>
            </a:rPr>
            <a:t> och tydligt sätt samt att</a:t>
          </a:r>
          <a:r>
            <a:rPr lang="sv-SE" sz="1100">
              <a:solidFill>
                <a:schemeClr val="tx1"/>
              </a:solidFill>
              <a:effectLst/>
              <a:latin typeface="+mn-lt"/>
              <a:ea typeface="+mn-ea"/>
              <a:cs typeface="+mn-cs"/>
            </a:rPr>
            <a:t> vara i framkant gällande nya trender,</a:t>
          </a:r>
          <a:r>
            <a:rPr lang="sv-SE" sz="1100" baseline="0">
              <a:solidFill>
                <a:schemeClr val="tx1"/>
              </a:solidFill>
              <a:effectLst/>
              <a:latin typeface="+mn-lt"/>
              <a:ea typeface="+mn-ea"/>
              <a:cs typeface="+mn-cs"/>
            </a:rPr>
            <a:t> en tydlig roadmap</a:t>
          </a:r>
          <a:endParaRPr lang="sv-SE" sz="1100">
            <a:solidFill>
              <a:schemeClr val="tx1"/>
            </a:solidFill>
            <a:effectLst/>
            <a:latin typeface="+mn-lt"/>
            <a:ea typeface="+mn-ea"/>
            <a:cs typeface="+mn-cs"/>
          </a:endParaRPr>
        </a:p>
        <a:p>
          <a:pPr lvl="0"/>
          <a:endParaRPr lang="sv-SE" sz="1100">
            <a:solidFill>
              <a:schemeClr val="tx1"/>
            </a:solidFill>
            <a:effectLst/>
            <a:latin typeface="+mn-lt"/>
            <a:ea typeface="+mn-ea"/>
            <a:cs typeface="+mn-cs"/>
          </a:endParaRPr>
        </a:p>
        <a:p>
          <a:pPr lvl="0"/>
          <a:r>
            <a:rPr lang="sv-SE" sz="1100" i="1">
              <a:solidFill>
                <a:schemeClr val="tx1"/>
              </a:solidFill>
              <a:effectLst/>
              <a:latin typeface="+mn-lt"/>
              <a:ea typeface="+mn-ea"/>
              <a:cs typeface="+mn-cs"/>
            </a:rPr>
            <a:t>- Trovärdighet </a:t>
          </a:r>
          <a:r>
            <a:rPr lang="sv-SE" sz="1100">
              <a:solidFill>
                <a:schemeClr val="tx1"/>
              </a:solidFill>
              <a:effectLst/>
              <a:latin typeface="+mn-lt"/>
              <a:ea typeface="+mn-ea"/>
              <a:cs typeface="+mn-cs"/>
            </a:rPr>
            <a:t>– potential till att innehållet i beskrivningen kommer att kunna tillämpas av Beställaren utan större anpassningar eller svårigheter</a:t>
          </a:r>
        </a:p>
        <a:p>
          <a:endParaRPr lang="sv-SE"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2197101</xdr:colOff>
      <xdr:row>0</xdr:row>
      <xdr:rowOff>1</xdr:rowOff>
    </xdr:from>
    <xdr:to>
      <xdr:col>1</xdr:col>
      <xdr:colOff>2901951</xdr:colOff>
      <xdr:row>1</xdr:row>
      <xdr:rowOff>1275</xdr:rowOff>
    </xdr:to>
    <xdr:pic>
      <xdr:nvPicPr>
        <xdr:cNvPr id="5" name="Bildobjekt 4" descr="Logotyp Huddinge kommun" title="Logotyp Huddinge kommun">
          <a:extLst>
            <a:ext uri="{FF2B5EF4-FFF2-40B4-BE49-F238E27FC236}">
              <a16:creationId xmlns:a16="http://schemas.microsoft.com/office/drawing/2014/main" id="{39CFEA63-3FFF-4CFD-9D3A-27696FE505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6701" y="1"/>
          <a:ext cx="704850" cy="261624"/>
        </a:xfrm>
        <a:prstGeom prst="rect">
          <a:avLst/>
        </a:prstGeom>
        <a:noFill/>
        <a:ln>
          <a:noFill/>
        </a:ln>
      </xdr:spPr>
    </xdr:pic>
    <xdr:clientData/>
  </xdr:twoCellAnchor>
  <xdr:twoCellAnchor>
    <xdr:from>
      <xdr:col>2</xdr:col>
      <xdr:colOff>6351</xdr:colOff>
      <xdr:row>0</xdr:row>
      <xdr:rowOff>254001</xdr:rowOff>
    </xdr:from>
    <xdr:to>
      <xdr:col>5</xdr:col>
      <xdr:colOff>596900</xdr:colOff>
      <xdr:row>3</xdr:row>
      <xdr:rowOff>146050</xdr:rowOff>
    </xdr:to>
    <xdr:sp macro="" textlink="">
      <xdr:nvSpPr>
        <xdr:cNvPr id="6" name="textruta 5">
          <a:extLst>
            <a:ext uri="{FF2B5EF4-FFF2-40B4-BE49-F238E27FC236}">
              <a16:creationId xmlns:a16="http://schemas.microsoft.com/office/drawing/2014/main" id="{6BF3E826-1ED9-751C-6A0A-B8D2EC5F291B}"/>
            </a:ext>
          </a:extLst>
        </xdr:cNvPr>
        <xdr:cNvSpPr txBox="1"/>
      </xdr:nvSpPr>
      <xdr:spPr>
        <a:xfrm>
          <a:off x="4235451" y="254001"/>
          <a:ext cx="3174999" cy="723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000"/>
            <a:t>Fullständig</a:t>
          </a:r>
          <a:r>
            <a:rPr lang="sv-SE" sz="1000" baseline="0"/>
            <a:t> beskrivning av respektive scenario, för utvärdering tillämpliga rolller, bedömningspunkter samt betygsskala framgår i respektive flik av Bilaga 16 </a:t>
          </a:r>
          <a:r>
            <a:rPr lang="sv-SE" sz="1000" i="1" baseline="0"/>
            <a:t>Utvärderingsscenarier Användbarhet </a:t>
          </a:r>
          <a:endParaRPr lang="sv-SE" sz="1000" i="1"/>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133350</xdr:colOff>
      <xdr:row>0</xdr:row>
      <xdr:rowOff>76200</xdr:rowOff>
    </xdr:from>
    <xdr:to>
      <xdr:col>11</xdr:col>
      <xdr:colOff>38100</xdr:colOff>
      <xdr:row>1</xdr:row>
      <xdr:rowOff>104775</xdr:rowOff>
    </xdr:to>
    <xdr:sp macro="" textlink="">
      <xdr:nvSpPr>
        <xdr:cNvPr id="6" name="textruta 5">
          <a:extLst>
            <a:ext uri="{FF2B5EF4-FFF2-40B4-BE49-F238E27FC236}">
              <a16:creationId xmlns:a16="http://schemas.microsoft.com/office/drawing/2014/main" id="{CB78A454-9B78-420A-89EA-1F29E7D8214B}"/>
            </a:ext>
          </a:extLst>
        </xdr:cNvPr>
        <xdr:cNvSpPr txBox="1"/>
      </xdr:nvSpPr>
      <xdr:spPr>
        <a:xfrm>
          <a:off x="7505700" y="76200"/>
          <a:ext cx="35623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solidFill>
                <a:srgbClr val="C00000"/>
              </a:solidFill>
            </a:rPr>
            <a:t>OBS! Anbudsgivaren</a:t>
          </a:r>
          <a:r>
            <a:rPr lang="sv-SE" sz="1100" b="1" baseline="0">
              <a:solidFill>
                <a:srgbClr val="C00000"/>
              </a:solidFill>
            </a:rPr>
            <a:t> ska inte fylla i uppgifter i denna flik! </a:t>
          </a:r>
          <a:endParaRPr lang="sv-SE" sz="1100" b="1">
            <a:solidFill>
              <a:srgbClr val="C00000"/>
            </a:solidFill>
          </a:endParaRPr>
        </a:p>
      </xdr:txBody>
    </xdr:sp>
    <xdr:clientData/>
  </xdr:twoCellAnchor>
  <xdr:twoCellAnchor>
    <xdr:from>
      <xdr:col>0</xdr:col>
      <xdr:colOff>107950</xdr:colOff>
      <xdr:row>4</xdr:row>
      <xdr:rowOff>228600</xdr:rowOff>
    </xdr:from>
    <xdr:to>
      <xdr:col>5</xdr:col>
      <xdr:colOff>1</xdr:colOff>
      <xdr:row>10</xdr:row>
      <xdr:rowOff>120650</xdr:rowOff>
    </xdr:to>
    <xdr:sp macro="" textlink="">
      <xdr:nvSpPr>
        <xdr:cNvPr id="7" name="textruta 1">
          <a:extLst>
            <a:ext uri="{FF2B5EF4-FFF2-40B4-BE49-F238E27FC236}">
              <a16:creationId xmlns:a16="http://schemas.microsoft.com/office/drawing/2014/main" id="{6838D96E-1F1C-44AA-B0A2-66A82C6D7EE5}"/>
            </a:ext>
          </a:extLst>
        </xdr:cNvPr>
        <xdr:cNvSpPr txBox="1"/>
      </xdr:nvSpPr>
      <xdr:spPr>
        <a:xfrm>
          <a:off x="107950" y="1504950"/>
          <a:ext cx="7620001" cy="145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000" u="sng"/>
            <a:t>Följande bedömningspunkter</a:t>
          </a:r>
          <a:r>
            <a:rPr lang="sv-SE" sz="1000" u="sng" baseline="0"/>
            <a:t> ska ligga till grund för betyg</a:t>
          </a:r>
          <a:r>
            <a:rPr lang="sv-SE" sz="1000" baseline="0"/>
            <a:t>:</a:t>
          </a:r>
        </a:p>
        <a:p>
          <a:endParaRPr lang="sv-SE" sz="1000" baseline="0">
            <a:solidFill>
              <a:sysClr val="windowText" lastClr="000000"/>
            </a:solidFill>
          </a:endParaRPr>
        </a:p>
        <a:p>
          <a:pPr lvl="0"/>
          <a:r>
            <a:rPr lang="sv-SE" sz="1000" i="1">
              <a:solidFill>
                <a:sysClr val="windowText" lastClr="000000"/>
              </a:solidFill>
              <a:effectLst/>
              <a:latin typeface="+mn-lt"/>
              <a:ea typeface="+mn-ea"/>
              <a:cs typeface="+mn-cs"/>
            </a:rPr>
            <a:t>- </a:t>
          </a:r>
          <a:r>
            <a:rPr lang="sv-SE" sz="1000" i="0">
              <a:solidFill>
                <a:sysClr val="windowText" lastClr="000000"/>
              </a:solidFill>
              <a:effectLst/>
              <a:latin typeface="+mn-lt"/>
              <a:ea typeface="+mn-ea"/>
              <a:cs typeface="+mn-cs"/>
            </a:rPr>
            <a:t>förståelse för uppdragets innehåll och svårigheter</a:t>
          </a:r>
        </a:p>
        <a:p>
          <a:pPr lvl="0"/>
          <a:r>
            <a:rPr lang="sv-SE" sz="1000" i="0">
              <a:solidFill>
                <a:sysClr val="windowText" lastClr="000000"/>
              </a:solidFill>
              <a:effectLst/>
              <a:latin typeface="+mn-lt"/>
              <a:ea typeface="+mn-ea"/>
              <a:cs typeface="+mn-cs"/>
            </a:rPr>
            <a:t>- tydliga exempel på framgångsfaktorer och förebyggande av eventuella problem</a:t>
          </a:r>
        </a:p>
        <a:p>
          <a:pPr lvl="0"/>
          <a:r>
            <a:rPr lang="sv-SE" sz="1000" i="0">
              <a:solidFill>
                <a:sysClr val="windowText" lastClr="000000"/>
              </a:solidFill>
              <a:effectLst/>
              <a:latin typeface="+mn-lt"/>
              <a:ea typeface="+mn-ea"/>
              <a:cs typeface="+mn-cs"/>
            </a:rPr>
            <a:t>- tydlig roll- och ansvarsfördelning och samverkan/kommunikation som leder till ett resurseffektivt och kostnadseffektivt Införande</a:t>
          </a:r>
        </a:p>
        <a:p>
          <a:pPr lvl="0"/>
          <a:r>
            <a:rPr lang="sv-SE" sz="1000" i="0">
              <a:solidFill>
                <a:sysClr val="windowText" lastClr="000000"/>
              </a:solidFill>
              <a:effectLst/>
              <a:latin typeface="+mn-lt"/>
              <a:ea typeface="+mn-ea"/>
              <a:cs typeface="+mn-cs"/>
            </a:rPr>
            <a:t>- balans mellan effektivitet och trovärdighet/rimlighet av tidsplanen och dess delmoment</a:t>
          </a:r>
        </a:p>
        <a:p>
          <a:pPr lvl="0"/>
          <a:r>
            <a:rPr lang="sv-SE" sz="1000" i="0">
              <a:solidFill>
                <a:sysClr val="windowText" lastClr="000000"/>
              </a:solidFill>
              <a:effectLst/>
              <a:latin typeface="+mn-lt"/>
              <a:ea typeface="+mn-ea"/>
              <a:cs typeface="+mn-cs"/>
            </a:rPr>
            <a:t>- minimering av störning och negativa påverkan på kommunens dagliga arbete </a:t>
          </a:r>
        </a:p>
        <a:p>
          <a:pPr lvl="0"/>
          <a:r>
            <a:rPr lang="sv-SE" sz="1000" i="0">
              <a:solidFill>
                <a:sysClr val="windowText" lastClr="000000"/>
              </a:solidFill>
              <a:effectLst/>
              <a:latin typeface="+mn-lt"/>
              <a:ea typeface="+mn-ea"/>
              <a:cs typeface="+mn-cs"/>
            </a:rPr>
            <a:t>- förutsättningar för hantering av förändringar och avvikelser under införandet</a:t>
          </a:r>
        </a:p>
        <a:p>
          <a:pPr lvl="0"/>
          <a:r>
            <a:rPr lang="sv-SE" sz="1000" i="0">
              <a:solidFill>
                <a:sysClr val="windowText" lastClr="000000"/>
              </a:solidFill>
              <a:effectLst/>
              <a:latin typeface="+mn-lt"/>
              <a:ea typeface="+mn-ea"/>
              <a:cs typeface="+mn-cs"/>
            </a:rPr>
            <a:t>- tydlighet!</a:t>
          </a:r>
        </a:p>
        <a:p>
          <a:pPr lvl="0"/>
          <a:endParaRPr lang="sv-SE" sz="1100"/>
        </a:p>
      </xdr:txBody>
    </xdr:sp>
    <xdr:clientData/>
  </xdr:twoCellAnchor>
  <xdr:twoCellAnchor>
    <xdr:from>
      <xdr:col>5</xdr:col>
      <xdr:colOff>133350</xdr:colOff>
      <xdr:row>2</xdr:row>
      <xdr:rowOff>9525</xdr:rowOff>
    </xdr:from>
    <xdr:to>
      <xdr:col>11</xdr:col>
      <xdr:colOff>50800</xdr:colOff>
      <xdr:row>10</xdr:row>
      <xdr:rowOff>133350</xdr:rowOff>
    </xdr:to>
    <xdr:sp macro="" textlink="">
      <xdr:nvSpPr>
        <xdr:cNvPr id="8" name="textruta 3">
          <a:extLst>
            <a:ext uri="{FF2B5EF4-FFF2-40B4-BE49-F238E27FC236}">
              <a16:creationId xmlns:a16="http://schemas.microsoft.com/office/drawing/2014/main" id="{253D9071-1DEC-4FB0-A641-CC43CB3FAB1A}"/>
            </a:ext>
          </a:extLst>
        </xdr:cNvPr>
        <xdr:cNvSpPr txBox="1"/>
      </xdr:nvSpPr>
      <xdr:spPr>
        <a:xfrm>
          <a:off x="7861300" y="530225"/>
          <a:ext cx="3575050" cy="2314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sv-SE" sz="1000" u="sng">
              <a:solidFill>
                <a:schemeClr val="dk1"/>
              </a:solidFill>
              <a:effectLst/>
              <a:latin typeface="+mn-lt"/>
              <a:ea typeface="+mn-ea"/>
              <a:cs typeface="+mn-cs"/>
            </a:rPr>
            <a:t>Följande betygsskala ska</a:t>
          </a:r>
          <a:r>
            <a:rPr lang="sv-SE" sz="1000" u="sng" baseline="0">
              <a:solidFill>
                <a:schemeClr val="dk1"/>
              </a:solidFill>
              <a:effectLst/>
              <a:latin typeface="+mn-lt"/>
              <a:ea typeface="+mn-ea"/>
              <a:cs typeface="+mn-cs"/>
            </a:rPr>
            <a:t> användas</a:t>
          </a:r>
          <a:r>
            <a:rPr lang="sv-SE" sz="1000" baseline="0">
              <a:solidFill>
                <a:schemeClr val="dk1"/>
              </a:solidFill>
              <a:effectLst/>
              <a:latin typeface="+mn-lt"/>
              <a:ea typeface="+mn-ea"/>
              <a:cs typeface="+mn-cs"/>
            </a:rPr>
            <a:t>:</a:t>
          </a:r>
        </a:p>
        <a:p>
          <a:pPr lvl="0"/>
          <a:endParaRPr lang="sv-SE" sz="1000">
            <a:solidFill>
              <a:schemeClr val="dk1"/>
            </a:solidFill>
            <a:effectLst/>
            <a:latin typeface="+mn-lt"/>
            <a:ea typeface="+mn-ea"/>
            <a:cs typeface="+mn-cs"/>
          </a:endParaRPr>
        </a:p>
        <a:p>
          <a:pPr lvl="0"/>
          <a:r>
            <a:rPr lang="sv-SE" sz="1000">
              <a:solidFill>
                <a:schemeClr val="dk1"/>
              </a:solidFill>
              <a:effectLst/>
              <a:latin typeface="+mn-lt"/>
              <a:ea typeface="+mn-ea"/>
              <a:cs typeface="+mn-cs"/>
            </a:rPr>
            <a:t>-Betyget "Mycket väl godkänt" (tydligt mervärde utifrån bedömningspunkterna enligt ovan, inga brister av betydelse) ger det maximala avdraget </a:t>
          </a:r>
        </a:p>
        <a:p>
          <a:pPr lvl="0"/>
          <a:endParaRPr lang="sv-SE" sz="1000">
            <a:solidFill>
              <a:schemeClr val="dk1"/>
            </a:solidFill>
            <a:effectLst/>
            <a:latin typeface="+mn-lt"/>
            <a:ea typeface="+mn-ea"/>
            <a:cs typeface="+mn-cs"/>
          </a:endParaRPr>
        </a:p>
        <a:p>
          <a:pPr lvl="0"/>
          <a:r>
            <a:rPr lang="sv-SE" sz="1000">
              <a:solidFill>
                <a:schemeClr val="dk1"/>
              </a:solidFill>
              <a:effectLst/>
              <a:latin typeface="+mn-lt"/>
              <a:ea typeface="+mn-ea"/>
              <a:cs typeface="+mn-cs"/>
            </a:rPr>
            <a:t>-Betyget "Väl Godkänt" (visst mervärde utifrån bedömningspunkterna enligt ovan, några få brister av ringa betydelse) ger ett avdrag på 50 % av maximalt avdrag </a:t>
          </a:r>
        </a:p>
        <a:p>
          <a:pPr lvl="0"/>
          <a:endParaRPr lang="sv-SE" sz="1000">
            <a:solidFill>
              <a:schemeClr val="dk1"/>
            </a:solidFill>
            <a:effectLst/>
            <a:latin typeface="+mn-lt"/>
            <a:ea typeface="+mn-ea"/>
            <a:cs typeface="+mn-cs"/>
          </a:endParaRPr>
        </a:p>
        <a:p>
          <a:pPr lvl="0"/>
          <a:r>
            <a:rPr lang="sv-SE" sz="1000">
              <a:solidFill>
                <a:schemeClr val="dk1"/>
              </a:solidFill>
              <a:effectLst/>
              <a:latin typeface="+mn-lt"/>
              <a:ea typeface="+mn-ea"/>
              <a:cs typeface="+mn-cs"/>
            </a:rPr>
            <a:t>-Betyget “Godkänt” (inget mervärde utifrån bedömningspunkterna och några brister av mindre/viss betydelse, dock uppfyller förslaget minsta acceptabla nivå enligt grundkraven) ger inget avdrag.</a:t>
          </a:r>
        </a:p>
        <a:p>
          <a:endParaRPr lang="sv-SE" sz="1100"/>
        </a:p>
      </xdr:txBody>
    </xdr:sp>
    <xdr:clientData/>
  </xdr:twoCellAnchor>
  <xdr:twoCellAnchor editAs="oneCell">
    <xdr:from>
      <xdr:col>2</xdr:col>
      <xdr:colOff>768350</xdr:colOff>
      <xdr:row>0</xdr:row>
      <xdr:rowOff>4458</xdr:rowOff>
    </xdr:from>
    <xdr:to>
      <xdr:col>2</xdr:col>
      <xdr:colOff>1320799</xdr:colOff>
      <xdr:row>0</xdr:row>
      <xdr:rowOff>247349</xdr:rowOff>
    </xdr:to>
    <xdr:pic>
      <xdr:nvPicPr>
        <xdr:cNvPr id="9" name="Bildobjekt 4" descr="Logotyp Huddinge kommun" title="Logotyp Huddinge kommun">
          <a:extLst>
            <a:ext uri="{FF2B5EF4-FFF2-40B4-BE49-F238E27FC236}">
              <a16:creationId xmlns:a16="http://schemas.microsoft.com/office/drawing/2014/main" id="{A30352AD-B14D-4E72-99FA-B7D028C350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1900" y="4458"/>
          <a:ext cx="571499" cy="242891"/>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3</xdr:col>
      <xdr:colOff>444500</xdr:colOff>
      <xdr:row>1</xdr:row>
      <xdr:rowOff>102660</xdr:rowOff>
    </xdr:from>
    <xdr:to>
      <xdr:col>6</xdr:col>
      <xdr:colOff>333375</xdr:colOff>
      <xdr:row>3</xdr:row>
      <xdr:rowOff>52916</xdr:rowOff>
    </xdr:to>
    <xdr:sp macro="" textlink="">
      <xdr:nvSpPr>
        <xdr:cNvPr id="2" name="textruta 1">
          <a:extLst>
            <a:ext uri="{FF2B5EF4-FFF2-40B4-BE49-F238E27FC236}">
              <a16:creationId xmlns:a16="http://schemas.microsoft.com/office/drawing/2014/main" id="{19E7DD85-10BE-45B6-99B2-8B918CD0CD53}"/>
            </a:ext>
          </a:extLst>
        </xdr:cNvPr>
        <xdr:cNvSpPr txBox="1"/>
      </xdr:nvSpPr>
      <xdr:spPr>
        <a:xfrm>
          <a:off x="4423833" y="330202"/>
          <a:ext cx="3518959" cy="267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solidFill>
                <a:srgbClr val="C00000"/>
              </a:solidFill>
            </a:rPr>
            <a:t>OBS! Anbudsgivaren</a:t>
          </a:r>
          <a:r>
            <a:rPr lang="sv-SE" sz="1100" b="1" baseline="0">
              <a:solidFill>
                <a:srgbClr val="C00000"/>
              </a:solidFill>
            </a:rPr>
            <a:t> ska inte fylla i uppgifter i denna flik!  </a:t>
          </a:r>
          <a:endParaRPr lang="sv-SE" sz="1100" b="1">
            <a:solidFill>
              <a:srgbClr val="C00000"/>
            </a:solidFill>
          </a:endParaRPr>
        </a:p>
      </xdr:txBody>
    </xdr:sp>
    <xdr:clientData/>
  </xdr:twoCellAnchor>
  <xdr:twoCellAnchor editAs="oneCell">
    <xdr:from>
      <xdr:col>2</xdr:col>
      <xdr:colOff>550333</xdr:colOff>
      <xdr:row>0</xdr:row>
      <xdr:rowOff>0</xdr:rowOff>
    </xdr:from>
    <xdr:to>
      <xdr:col>2</xdr:col>
      <xdr:colOff>1188677</xdr:colOff>
      <xdr:row>0</xdr:row>
      <xdr:rowOff>219244</xdr:rowOff>
    </xdr:to>
    <xdr:pic>
      <xdr:nvPicPr>
        <xdr:cNvPr id="3" name="Bildobjekt 2">
          <a:extLst>
            <a:ext uri="{FF2B5EF4-FFF2-40B4-BE49-F238E27FC236}">
              <a16:creationId xmlns:a16="http://schemas.microsoft.com/office/drawing/2014/main" id="{88A1EF6D-D04A-4A09-8B6D-DCF42CF658C7}"/>
            </a:ext>
          </a:extLst>
        </xdr:cNvPr>
        <xdr:cNvPicPr>
          <a:picLocks noChangeAspect="1"/>
        </xdr:cNvPicPr>
      </xdr:nvPicPr>
      <xdr:blipFill>
        <a:blip xmlns:r="http://schemas.openxmlformats.org/officeDocument/2006/relationships" r:embed="rId1"/>
        <a:stretch>
          <a:fillRect/>
        </a:stretch>
      </xdr:blipFill>
      <xdr:spPr>
        <a:xfrm>
          <a:off x="3201458" y="0"/>
          <a:ext cx="641519" cy="2160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rasolova, Julia" id="{8021E03B-EC17-4B43-A39A-46225777B5C5}" userId="Julia.Prasolova@huddinge.se" providerId="PeoplePicker"/>
  <person displayName="Höglund, Linda" id="{AD4A5B50-4334-4EEC-A37D-9501BCCA4E87}" userId="S::linda.hoglund@huddinge.se::3424d3d2-7715-4bf8-9bc0-15fecbef578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71" dT="2025-08-21T08:16:20.93" personId="{AD4A5B50-4334-4EEC-A37D-9501BCCA4E87}" id="{8D5FFDCF-F9C8-451A-A3A9-F2860DA29914}">
    <text xml:space="preserve">@Prasolova, Julia </text>
    <mentions>
      <mention mentionpersonId="{8021E03B-EC17-4B43-A39A-46225777B5C5}" mentionId="{3A43A12B-E1FB-47EC-9509-127A0EE15BFC}" startIndex="0" length="1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G49" dT="2025-08-21T08:31:19.01" personId="{AD4A5B50-4334-4EEC-A37D-9501BCCA4E87}" id="{D64BC974-1945-4CBD-9CC5-BE2F9E2A132F}">
    <text xml:space="preserve">@Prasolova, Julia </text>
    <mentions>
      <mention mentionpersonId="{8021E03B-EC17-4B43-A39A-46225777B5C5}" mentionId="{69611EEB-887A-4D5E-BE10-F0548BEBCE64}" startIndex="0" length="17"/>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9/04/relationships/documenttask" Target="../documenttasks/documenttask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D068D-F124-4798-A7BA-ADB92A5A3976}">
  <dimension ref="A1:R16"/>
  <sheetViews>
    <sheetView tabSelected="1" topLeftCell="A20" zoomScale="145" zoomScaleNormal="145" workbookViewId="0">
      <selection activeCell="A43" sqref="A43"/>
    </sheetView>
  </sheetViews>
  <sheetFormatPr defaultRowHeight="12.5" x14ac:dyDescent="0.25"/>
  <cols>
    <col min="1" max="1" width="75.1796875" customWidth="1"/>
    <col min="4" max="4" width="15.453125" customWidth="1"/>
  </cols>
  <sheetData>
    <row r="1" spans="1:18" ht="20.149999999999999" customHeight="1" x14ac:dyDescent="0.25">
      <c r="A1" s="203" t="s">
        <v>0</v>
      </c>
      <c r="B1" s="136"/>
      <c r="C1" s="166" t="s">
        <v>1</v>
      </c>
      <c r="D1" s="199"/>
      <c r="E1" s="144"/>
      <c r="F1" s="144"/>
      <c r="G1" s="136"/>
      <c r="H1" s="136"/>
      <c r="I1" s="136"/>
      <c r="J1" s="136"/>
      <c r="K1" s="136"/>
      <c r="L1" s="136"/>
      <c r="M1" s="136"/>
      <c r="N1" s="136"/>
      <c r="O1" s="136"/>
      <c r="P1" s="136"/>
      <c r="Q1" s="136"/>
      <c r="R1" s="136"/>
    </row>
    <row r="3" spans="1:18" ht="14.5" x14ac:dyDescent="0.35">
      <c r="A3" s="200" t="s">
        <v>2</v>
      </c>
    </row>
    <row r="4" spans="1:18" ht="43.5" x14ac:dyDescent="0.35">
      <c r="A4" s="202" t="s">
        <v>3</v>
      </c>
    </row>
    <row r="5" spans="1:18" ht="14.5" x14ac:dyDescent="0.35">
      <c r="A5" s="201"/>
    </row>
    <row r="6" spans="1:18" ht="14.5" x14ac:dyDescent="0.35">
      <c r="A6" s="200" t="s">
        <v>4</v>
      </c>
    </row>
    <row r="7" spans="1:18" ht="58" x14ac:dyDescent="0.35">
      <c r="A7" s="202" t="s">
        <v>5</v>
      </c>
    </row>
    <row r="8" spans="1:18" ht="14.5" x14ac:dyDescent="0.35">
      <c r="A8" s="201"/>
    </row>
    <row r="9" spans="1:18" ht="14.5" x14ac:dyDescent="0.35">
      <c r="A9" s="200" t="s">
        <v>6</v>
      </c>
    </row>
    <row r="10" spans="1:18" ht="14.5" x14ac:dyDescent="0.35">
      <c r="A10" s="201" t="s">
        <v>7</v>
      </c>
    </row>
    <row r="11" spans="1:18" ht="14.5" x14ac:dyDescent="0.35">
      <c r="A11" s="201" t="s">
        <v>8</v>
      </c>
    </row>
    <row r="12" spans="1:18" ht="43.5" x14ac:dyDescent="0.35">
      <c r="A12" s="202" t="s">
        <v>9</v>
      </c>
    </row>
    <row r="13" spans="1:18" ht="14.5" x14ac:dyDescent="0.35">
      <c r="A13" s="201"/>
    </row>
    <row r="14" spans="1:18" ht="14.5" x14ac:dyDescent="0.35">
      <c r="A14" s="200" t="s">
        <v>10</v>
      </c>
    </row>
    <row r="15" spans="1:18" ht="14.5" x14ac:dyDescent="0.35">
      <c r="A15" s="201" t="s">
        <v>11</v>
      </c>
    </row>
    <row r="16" spans="1:18" ht="29" x14ac:dyDescent="0.35">
      <c r="A16" s="202" t="s">
        <v>12</v>
      </c>
    </row>
  </sheetData>
  <pageMargins left="0.7" right="0.7" top="0.75" bottom="0.75" header="0.3" footer="0.3"/>
  <pageSetup paperSize="9"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fitToPage="1"/>
  </sheetPr>
  <dimension ref="A1:Q1048530"/>
  <sheetViews>
    <sheetView zoomScaleNormal="100" workbookViewId="0">
      <pane ySplit="3" topLeftCell="A4" activePane="bottomLeft" state="frozen"/>
      <selection pane="bottomLeft" activeCell="AF14" sqref="AF14"/>
    </sheetView>
  </sheetViews>
  <sheetFormatPr defaultColWidth="9.1796875" defaultRowHeight="12.75" customHeight="1" x14ac:dyDescent="0.3"/>
  <cols>
    <col min="1" max="1" width="6.1796875" style="106" customWidth="1"/>
    <col min="2" max="2" width="71.1796875" style="107" customWidth="1"/>
    <col min="3" max="3" width="11.81640625" style="108" customWidth="1"/>
    <col min="4" max="4" width="18.81640625" style="108" customWidth="1"/>
    <col min="5" max="5" width="13" style="108" customWidth="1"/>
    <col min="6" max="6" width="17.1796875" style="108" customWidth="1"/>
    <col min="7" max="11" width="9.1796875" style="99" hidden="1" customWidth="1"/>
    <col min="12" max="12" width="9.1796875" style="99" customWidth="1"/>
    <col min="13" max="13" width="9.1796875" style="99" hidden="1" customWidth="1"/>
    <col min="14" max="14" width="10.81640625" style="99" hidden="1" customWidth="1"/>
    <col min="15" max="15" width="9.1796875" style="99" hidden="1" customWidth="1"/>
    <col min="16" max="16" width="1.90625" style="99" hidden="1" customWidth="1"/>
    <col min="17" max="17" width="9.1796875" style="99" hidden="1" customWidth="1"/>
    <col min="18" max="27" width="0" style="99" hidden="1" customWidth="1"/>
    <col min="28" max="16384" width="9.1796875" style="99"/>
  </cols>
  <sheetData>
    <row r="1" spans="1:17" customFormat="1" ht="20.149999999999999" customHeight="1" x14ac:dyDescent="0.25">
      <c r="A1" s="203" t="s">
        <v>0</v>
      </c>
      <c r="B1" s="203"/>
      <c r="C1" s="108"/>
      <c r="D1" s="166" t="s">
        <v>1</v>
      </c>
      <c r="E1" s="335">
        <f>Information!D1</f>
        <v>0</v>
      </c>
      <c r="F1" s="207"/>
      <c r="G1" s="136"/>
      <c r="H1" s="136"/>
      <c r="I1" s="136"/>
      <c r="J1" s="136"/>
      <c r="K1" s="136"/>
    </row>
    <row r="2" spans="1:17" customFormat="1" ht="25" customHeight="1" x14ac:dyDescent="0.25">
      <c r="E2" s="336"/>
    </row>
    <row r="3" spans="1:17" customFormat="1" ht="31.5" customHeight="1" x14ac:dyDescent="0.25">
      <c r="A3" s="213">
        <v>1</v>
      </c>
      <c r="B3" s="213" t="s">
        <v>13</v>
      </c>
      <c r="C3" s="214" t="s">
        <v>14</v>
      </c>
      <c r="D3" s="213" t="s">
        <v>15</v>
      </c>
      <c r="E3" s="213" t="s">
        <v>16</v>
      </c>
      <c r="F3" s="213" t="s">
        <v>17</v>
      </c>
      <c r="G3" t="s">
        <v>18</v>
      </c>
      <c r="H3" t="s">
        <v>19</v>
      </c>
    </row>
    <row r="4" spans="1:17" s="218" customFormat="1" ht="18.5" x14ac:dyDescent="0.35">
      <c r="A4" s="215" t="s">
        <v>20</v>
      </c>
      <c r="B4" s="215" t="s">
        <v>21</v>
      </c>
      <c r="C4" s="216"/>
      <c r="D4" s="217"/>
      <c r="E4" s="338"/>
      <c r="F4" s="217"/>
    </row>
    <row r="5" spans="1:17" customFormat="1" ht="14.5" x14ac:dyDescent="0.25">
      <c r="A5" s="213" t="s">
        <v>22</v>
      </c>
      <c r="B5" s="213" t="s">
        <v>23</v>
      </c>
      <c r="C5" s="214"/>
      <c r="D5" s="213"/>
      <c r="E5" s="337"/>
      <c r="F5" s="213"/>
    </row>
    <row r="6" spans="1:17" customFormat="1" ht="44.15" customHeight="1" x14ac:dyDescent="0.25">
      <c r="A6" s="223" t="s">
        <v>24</v>
      </c>
      <c r="B6" s="224" t="s">
        <v>25</v>
      </c>
      <c r="C6" s="157" t="s">
        <v>27</v>
      </c>
      <c r="D6" s="105"/>
      <c r="E6" s="105"/>
      <c r="F6" s="105"/>
    </row>
    <row r="7" spans="1:17" customFormat="1" ht="44.15" customHeight="1" x14ac:dyDescent="0.25">
      <c r="A7" s="223" t="s">
        <v>28</v>
      </c>
      <c r="B7" s="224" t="s">
        <v>29</v>
      </c>
      <c r="C7" s="157" t="s">
        <v>27</v>
      </c>
      <c r="D7" s="105"/>
      <c r="E7" s="105"/>
      <c r="F7" s="105"/>
    </row>
    <row r="8" spans="1:17" customFormat="1" ht="30.75" customHeight="1" x14ac:dyDescent="0.25">
      <c r="A8" s="223" t="s">
        <v>30</v>
      </c>
      <c r="B8" s="224" t="s">
        <v>31</v>
      </c>
      <c r="C8" s="157" t="s">
        <v>27</v>
      </c>
      <c r="D8" s="105"/>
      <c r="E8" s="105"/>
      <c r="F8" s="105"/>
    </row>
    <row r="9" spans="1:17" customFormat="1" ht="39" x14ac:dyDescent="0.3">
      <c r="A9" s="223" t="s">
        <v>32</v>
      </c>
      <c r="B9" s="224" t="s">
        <v>33</v>
      </c>
      <c r="C9" s="157" t="s">
        <v>27</v>
      </c>
      <c r="D9" s="105"/>
      <c r="E9" s="105"/>
      <c r="F9" s="105"/>
      <c r="N9" s="99"/>
      <c r="Q9" s="325"/>
    </row>
    <row r="10" spans="1:17" customFormat="1" ht="31.5" customHeight="1" x14ac:dyDescent="0.25">
      <c r="A10" s="223" t="s">
        <v>34</v>
      </c>
      <c r="B10" s="224" t="s">
        <v>35</v>
      </c>
      <c r="C10" s="157" t="s">
        <v>27</v>
      </c>
      <c r="D10" s="105"/>
      <c r="E10" s="105"/>
      <c r="F10" s="105"/>
    </row>
    <row r="11" spans="1:17" customFormat="1" ht="31.5" customHeight="1" x14ac:dyDescent="0.25">
      <c r="A11" s="223" t="s">
        <v>36</v>
      </c>
      <c r="B11" s="224" t="s">
        <v>37</v>
      </c>
      <c r="C11" s="157" t="s">
        <v>27</v>
      </c>
      <c r="D11" s="105"/>
      <c r="E11" s="105"/>
      <c r="F11" s="105"/>
    </row>
    <row r="12" spans="1:17" ht="38.15" customHeight="1" x14ac:dyDescent="0.3">
      <c r="A12" s="223" t="s">
        <v>38</v>
      </c>
      <c r="B12" s="224" t="s">
        <v>39</v>
      </c>
      <c r="C12" s="157" t="s">
        <v>27</v>
      </c>
      <c r="D12" s="105"/>
      <c r="E12" s="105"/>
      <c r="F12" s="105"/>
    </row>
    <row r="13" spans="1:17" customFormat="1" ht="50.5" customHeight="1" x14ac:dyDescent="0.25">
      <c r="A13" s="223" t="s">
        <v>40</v>
      </c>
      <c r="B13" s="224" t="s">
        <v>41</v>
      </c>
      <c r="C13" s="157" t="s">
        <v>27</v>
      </c>
      <c r="D13" s="105"/>
      <c r="E13" s="105"/>
      <c r="F13" s="105"/>
    </row>
    <row r="14" spans="1:17" customFormat="1" ht="46" customHeight="1" x14ac:dyDescent="0.25">
      <c r="A14" s="223" t="s">
        <v>42</v>
      </c>
      <c r="B14" s="224" t="s">
        <v>43</v>
      </c>
      <c r="C14" s="157" t="s">
        <v>27</v>
      </c>
      <c r="D14" s="105"/>
      <c r="E14" s="105"/>
      <c r="F14" s="105"/>
    </row>
    <row r="15" spans="1:17" ht="17.25" customHeight="1" x14ac:dyDescent="0.3">
      <c r="A15" s="223" t="s">
        <v>44</v>
      </c>
      <c r="B15" s="224" t="s">
        <v>45</v>
      </c>
      <c r="C15" s="157" t="s">
        <v>27</v>
      </c>
      <c r="D15" s="105"/>
      <c r="E15" s="105"/>
      <c r="F15" s="105"/>
    </row>
    <row r="16" spans="1:17" ht="17.25" customHeight="1" x14ac:dyDescent="0.3">
      <c r="A16" s="223" t="s">
        <v>46</v>
      </c>
      <c r="B16" s="224" t="s">
        <v>47</v>
      </c>
      <c r="C16" s="157" t="s">
        <v>27</v>
      </c>
      <c r="D16" s="105"/>
      <c r="E16" s="105"/>
      <c r="F16" s="105"/>
    </row>
    <row r="17" spans="1:15" ht="26" x14ac:dyDescent="0.3">
      <c r="A17" s="223" t="s">
        <v>48</v>
      </c>
      <c r="B17" s="310" t="s">
        <v>49</v>
      </c>
      <c r="C17" s="157" t="s">
        <v>27</v>
      </c>
      <c r="D17" s="105"/>
      <c r="E17" s="105"/>
      <c r="F17" s="105"/>
    </row>
    <row r="18" spans="1:15" ht="39" x14ac:dyDescent="0.3">
      <c r="A18" s="223" t="s">
        <v>50</v>
      </c>
      <c r="B18" s="310" t="s">
        <v>51</v>
      </c>
      <c r="C18" s="157" t="s">
        <v>27</v>
      </c>
      <c r="D18" s="105"/>
      <c r="E18" s="105"/>
      <c r="F18" s="105"/>
    </row>
    <row r="19" spans="1:15" ht="17.25" customHeight="1" x14ac:dyDescent="0.3">
      <c r="A19" s="223" t="s">
        <v>52</v>
      </c>
      <c r="B19" s="224" t="s">
        <v>53</v>
      </c>
      <c r="C19" s="157" t="s">
        <v>27</v>
      </c>
      <c r="D19" s="105"/>
      <c r="E19" s="105"/>
      <c r="F19" s="105"/>
    </row>
    <row r="20" spans="1:15" customFormat="1" ht="13" x14ac:dyDescent="0.25">
      <c r="A20" s="223" t="s">
        <v>54</v>
      </c>
      <c r="B20" s="224" t="s">
        <v>55</v>
      </c>
      <c r="C20" s="157" t="s">
        <v>27</v>
      </c>
      <c r="D20" s="105"/>
      <c r="E20" s="105"/>
      <c r="F20" s="105"/>
    </row>
    <row r="21" spans="1:15" ht="20.5" customHeight="1" x14ac:dyDescent="0.3">
      <c r="A21" s="223" t="s">
        <v>56</v>
      </c>
      <c r="B21" s="224" t="s">
        <v>57</v>
      </c>
      <c r="C21" s="157" t="s">
        <v>27</v>
      </c>
      <c r="D21" s="105"/>
      <c r="E21" s="105"/>
      <c r="F21" s="105"/>
    </row>
    <row r="22" spans="1:15" ht="32.15" customHeight="1" x14ac:dyDescent="0.3">
      <c r="A22" s="223" t="s">
        <v>58</v>
      </c>
      <c r="B22" s="224" t="s">
        <v>59</v>
      </c>
      <c r="C22" s="157" t="s">
        <v>27</v>
      </c>
      <c r="D22" s="105"/>
      <c r="E22" s="105"/>
      <c r="F22" s="105"/>
    </row>
    <row r="23" spans="1:15" ht="52" x14ac:dyDescent="0.3">
      <c r="A23" s="223" t="s">
        <v>60</v>
      </c>
      <c r="B23" s="224" t="s">
        <v>61</v>
      </c>
      <c r="C23" s="157" t="s">
        <v>27</v>
      </c>
      <c r="D23" s="105"/>
      <c r="E23" s="105"/>
      <c r="F23" s="105"/>
    </row>
    <row r="24" spans="1:15" ht="32.15" customHeight="1" x14ac:dyDescent="0.3">
      <c r="A24" s="223" t="s">
        <v>62</v>
      </c>
      <c r="B24" s="224" t="s">
        <v>63</v>
      </c>
      <c r="C24" s="157" t="s">
        <v>27</v>
      </c>
      <c r="D24" s="105"/>
      <c r="E24" s="105"/>
      <c r="F24" s="105"/>
    </row>
    <row r="25" spans="1:15" ht="32.15" customHeight="1" x14ac:dyDescent="0.3">
      <c r="A25" s="223" t="s">
        <v>64</v>
      </c>
      <c r="B25" s="224" t="s">
        <v>65</v>
      </c>
      <c r="C25" s="157" t="s">
        <v>27</v>
      </c>
      <c r="D25" s="105"/>
      <c r="E25" s="105"/>
      <c r="F25" s="105"/>
    </row>
    <row r="26" spans="1:15" s="103" customFormat="1" ht="26" x14ac:dyDescent="0.25">
      <c r="A26" s="223" t="s">
        <v>66</v>
      </c>
      <c r="B26" s="224" t="s">
        <v>67</v>
      </c>
      <c r="C26" s="105" t="s">
        <v>6</v>
      </c>
      <c r="D26" s="228"/>
      <c r="E26" s="105">
        <f>IF(D26=J28,5,(IF(D26=J29,0,0)))</f>
        <v>0</v>
      </c>
      <c r="F26" s="294">
        <f>(Jämförelsesumma!$E$6/Jämförelsesumma!$F$6)*E26</f>
        <v>0</v>
      </c>
    </row>
    <row r="27" spans="1:15" s="103" customFormat="1" ht="29.25" customHeight="1" x14ac:dyDescent="0.25">
      <c r="A27" s="223" t="s">
        <v>68</v>
      </c>
      <c r="B27" s="224" t="s">
        <v>69</v>
      </c>
      <c r="C27" s="157" t="s">
        <v>27</v>
      </c>
      <c r="D27" s="225"/>
      <c r="E27" s="105"/>
      <c r="F27" s="105"/>
    </row>
    <row r="28" spans="1:15" s="103" customFormat="1" ht="47.25" customHeight="1" x14ac:dyDescent="0.25">
      <c r="A28" s="223" t="s">
        <v>70</v>
      </c>
      <c r="B28" s="224" t="s">
        <v>71</v>
      </c>
      <c r="C28" s="157" t="s">
        <v>27</v>
      </c>
      <c r="D28" s="226"/>
      <c r="E28" s="105"/>
      <c r="F28" s="105"/>
      <c r="J28" s="103" t="s">
        <v>18</v>
      </c>
    </row>
    <row r="29" spans="1:15" s="103" customFormat="1" ht="43.5" customHeight="1" x14ac:dyDescent="0.25">
      <c r="A29" s="223" t="s">
        <v>72</v>
      </c>
      <c r="B29" s="224" t="s">
        <v>73</v>
      </c>
      <c r="C29" s="309" t="s">
        <v>74</v>
      </c>
      <c r="D29" s="228"/>
      <c r="E29" s="105">
        <f>IF(D29=J28,5,(IF(D29=J29,0,0)))</f>
        <v>0</v>
      </c>
      <c r="F29" s="294">
        <f>(Jämförelsesumma!$E$6/Jämförelsesumma!$F$6)*E29</f>
        <v>0</v>
      </c>
      <c r="J29" s="227" t="s">
        <v>75</v>
      </c>
      <c r="O29" s="103" t="s">
        <v>76</v>
      </c>
    </row>
    <row r="30" spans="1:15" s="103" customFormat="1" ht="43.5" customHeight="1" x14ac:dyDescent="0.25">
      <c r="A30" s="308" t="s">
        <v>77</v>
      </c>
      <c r="B30" s="308" t="s">
        <v>78</v>
      </c>
      <c r="C30" s="157" t="s">
        <v>27</v>
      </c>
      <c r="D30" s="323"/>
      <c r="E30" s="324"/>
      <c r="F30" s="306"/>
      <c r="J30" s="227"/>
      <c r="O30" s="103" t="s">
        <v>79</v>
      </c>
    </row>
    <row r="31" spans="1:15" s="119" customFormat="1" ht="26" x14ac:dyDescent="0.25">
      <c r="A31" s="308" t="s">
        <v>80</v>
      </c>
      <c r="B31" s="316" t="s">
        <v>81</v>
      </c>
      <c r="C31" s="137" t="s">
        <v>6</v>
      </c>
      <c r="D31" s="164"/>
      <c r="E31" s="339">
        <f>IF(D31="Ja, uppdatering sker minst årligen av leverantören", 1, IF(D31="Ja, uppdatering sker minst månadsvis av leverantören", 2, 0))</f>
        <v>0</v>
      </c>
      <c r="F31" s="294">
        <f>(Jämförelsesumma!$E$6/Jämförelsesumma!$F$6)*E31</f>
        <v>0</v>
      </c>
      <c r="O31" s="119" t="s">
        <v>75</v>
      </c>
    </row>
    <row r="32" spans="1:15" customFormat="1" ht="14.5" x14ac:dyDescent="0.25">
      <c r="A32" s="213" t="s">
        <v>83</v>
      </c>
      <c r="B32" s="213" t="s">
        <v>84</v>
      </c>
      <c r="C32" s="214"/>
      <c r="D32" s="213"/>
      <c r="E32" s="337"/>
      <c r="F32" s="213"/>
    </row>
    <row r="33" spans="1:10" s="103" customFormat="1" ht="29.25" customHeight="1" x14ac:dyDescent="0.25">
      <c r="A33" s="223" t="s">
        <v>85</v>
      </c>
      <c r="B33" s="224" t="s">
        <v>86</v>
      </c>
      <c r="C33" s="157" t="s">
        <v>27</v>
      </c>
      <c r="D33" s="105"/>
      <c r="E33" s="105"/>
      <c r="F33" s="105"/>
      <c r="J33" s="227"/>
    </row>
    <row r="34" spans="1:10" s="103" customFormat="1" ht="30.75" customHeight="1" x14ac:dyDescent="0.25">
      <c r="A34" s="223" t="s">
        <v>87</v>
      </c>
      <c r="B34" s="224" t="s">
        <v>88</v>
      </c>
      <c r="C34" s="157" t="s">
        <v>27</v>
      </c>
      <c r="D34" s="105"/>
      <c r="E34" s="105"/>
      <c r="F34" s="105"/>
      <c r="J34" s="227"/>
    </row>
    <row r="35" spans="1:10" s="103" customFormat="1" ht="44.25" customHeight="1" x14ac:dyDescent="0.25">
      <c r="A35" s="223" t="s">
        <v>89</v>
      </c>
      <c r="B35" s="224" t="s">
        <v>90</v>
      </c>
      <c r="C35" s="157" t="s">
        <v>27</v>
      </c>
      <c r="D35" s="105"/>
      <c r="E35" s="105"/>
      <c r="F35" s="105"/>
      <c r="J35" s="227"/>
    </row>
    <row r="36" spans="1:10" s="103" customFormat="1" ht="30" customHeight="1" x14ac:dyDescent="0.25">
      <c r="A36" s="223" t="s">
        <v>91</v>
      </c>
      <c r="B36" s="224" t="s">
        <v>92</v>
      </c>
      <c r="C36" s="157" t="s">
        <v>27</v>
      </c>
      <c r="D36" s="105"/>
      <c r="E36" s="105"/>
      <c r="F36" s="105"/>
      <c r="J36" s="227"/>
    </row>
    <row r="37" spans="1:10" s="103" customFormat="1" ht="37.5" customHeight="1" x14ac:dyDescent="0.25">
      <c r="A37" s="223" t="s">
        <v>93</v>
      </c>
      <c r="B37" s="326" t="s">
        <v>94</v>
      </c>
      <c r="C37" s="105" t="s">
        <v>6</v>
      </c>
      <c r="D37" s="228"/>
      <c r="E37" s="105">
        <f>IF(D37=G3,1,0)</f>
        <v>0</v>
      </c>
      <c r="F37" s="294">
        <f>(Jämförelsesumma!$E$6/Jämförelsesumma!$F$6)*E37</f>
        <v>0</v>
      </c>
      <c r="J37" s="227"/>
    </row>
    <row r="38" spans="1:10" s="330" customFormat="1" ht="33" customHeight="1" x14ac:dyDescent="0.25">
      <c r="A38" s="223" t="s">
        <v>95</v>
      </c>
      <c r="B38" s="328" t="s">
        <v>98</v>
      </c>
      <c r="C38" s="273" t="s">
        <v>6</v>
      </c>
      <c r="D38" s="228"/>
      <c r="E38" s="334">
        <f>IF(D38="ja",3,0)</f>
        <v>0</v>
      </c>
      <c r="F38" s="329">
        <f>(Jämförelsesumma!$E$6/Jämförelsesumma!$F$6)*E38</f>
        <v>0</v>
      </c>
      <c r="J38" s="331"/>
    </row>
    <row r="39" spans="1:10" s="103" customFormat="1" ht="48" customHeight="1" x14ac:dyDescent="0.25">
      <c r="A39" s="223" t="s">
        <v>97</v>
      </c>
      <c r="B39" s="224" t="s">
        <v>96</v>
      </c>
      <c r="C39" s="157" t="s">
        <v>27</v>
      </c>
      <c r="D39" s="105"/>
      <c r="E39" s="105"/>
      <c r="F39" s="105"/>
      <c r="J39" s="227"/>
    </row>
    <row r="40" spans="1:10" s="330" customFormat="1" ht="33" customHeight="1" x14ac:dyDescent="0.25">
      <c r="A40" s="223" t="s">
        <v>99</v>
      </c>
      <c r="B40" s="332" t="s">
        <v>100</v>
      </c>
      <c r="C40" s="333" t="s">
        <v>6</v>
      </c>
      <c r="D40" s="228"/>
      <c r="E40" s="334">
        <f>IF(D40="ja",5,0)</f>
        <v>0</v>
      </c>
      <c r="F40" s="329">
        <f>(Jämförelsesumma!$E$6/Jämförelsesumma!$F$6)*E40</f>
        <v>0</v>
      </c>
      <c r="J40" s="331"/>
    </row>
    <row r="41" spans="1:10" customFormat="1" ht="14.5" x14ac:dyDescent="0.25">
      <c r="A41" s="213" t="s">
        <v>101</v>
      </c>
      <c r="B41" s="213" t="s">
        <v>102</v>
      </c>
      <c r="C41" s="214"/>
      <c r="D41" s="213"/>
      <c r="E41" s="337"/>
      <c r="F41" s="213"/>
    </row>
    <row r="42" spans="1:10" s="103" customFormat="1" ht="14.5" x14ac:dyDescent="0.25">
      <c r="A42" s="223" t="s">
        <v>103</v>
      </c>
      <c r="B42" s="224" t="s">
        <v>104</v>
      </c>
      <c r="C42" s="157" t="s">
        <v>27</v>
      </c>
      <c r="D42" s="105"/>
      <c r="E42" s="105"/>
      <c r="F42" s="105"/>
      <c r="J42" s="227"/>
    </row>
    <row r="43" spans="1:10" s="103" customFormat="1" ht="32.25" customHeight="1" x14ac:dyDescent="0.25">
      <c r="A43" s="223" t="s">
        <v>105</v>
      </c>
      <c r="B43" s="224" t="s">
        <v>106</v>
      </c>
      <c r="C43" s="157" t="s">
        <v>27</v>
      </c>
      <c r="D43" s="105"/>
      <c r="E43" s="105"/>
      <c r="F43" s="105"/>
      <c r="J43" s="227"/>
    </row>
    <row r="44" spans="1:10" s="103" customFormat="1" ht="14.5" x14ac:dyDescent="0.25">
      <c r="A44" s="223" t="s">
        <v>107</v>
      </c>
      <c r="B44" s="224" t="s">
        <v>108</v>
      </c>
      <c r="C44" s="157" t="s">
        <v>27</v>
      </c>
      <c r="D44" s="105"/>
      <c r="E44" s="105"/>
      <c r="F44" s="105"/>
      <c r="J44" s="227"/>
    </row>
    <row r="45" spans="1:10" customFormat="1" ht="14.5" x14ac:dyDescent="0.25">
      <c r="A45" s="213" t="s">
        <v>109</v>
      </c>
      <c r="B45" s="213" t="s">
        <v>110</v>
      </c>
      <c r="C45" s="214"/>
      <c r="D45" s="213"/>
      <c r="E45" s="337"/>
      <c r="F45" s="213"/>
    </row>
    <row r="46" spans="1:10" s="103" customFormat="1" ht="30.75" customHeight="1" x14ac:dyDescent="0.25">
      <c r="A46" s="223" t="s">
        <v>111</v>
      </c>
      <c r="B46" s="224" t="s">
        <v>112</v>
      </c>
      <c r="C46" s="157" t="s">
        <v>27</v>
      </c>
      <c r="D46" s="105"/>
      <c r="E46" s="105"/>
      <c r="F46" s="105"/>
      <c r="J46" s="227"/>
    </row>
    <row r="47" spans="1:10" s="103" customFormat="1" ht="33" customHeight="1" x14ac:dyDescent="0.25">
      <c r="A47" s="223" t="s">
        <v>113</v>
      </c>
      <c r="B47" s="224" t="s">
        <v>114</v>
      </c>
      <c r="C47" s="157" t="s">
        <v>27</v>
      </c>
      <c r="D47" s="105"/>
      <c r="E47" s="105"/>
      <c r="F47" s="105"/>
      <c r="J47" s="227"/>
    </row>
    <row r="48" spans="1:10" s="103" customFormat="1" ht="27.65" customHeight="1" x14ac:dyDescent="0.25">
      <c r="A48" s="223" t="s">
        <v>115</v>
      </c>
      <c r="B48" s="224" t="s">
        <v>116</v>
      </c>
      <c r="C48" s="157" t="s">
        <v>27</v>
      </c>
      <c r="D48" s="105"/>
      <c r="E48" s="105"/>
      <c r="F48" s="105"/>
      <c r="J48" s="227"/>
    </row>
    <row r="49" spans="1:10" s="103" customFormat="1" ht="46.5" customHeight="1" x14ac:dyDescent="0.25">
      <c r="A49" s="223" t="s">
        <v>117</v>
      </c>
      <c r="B49" s="224" t="s">
        <v>118</v>
      </c>
      <c r="C49" s="157" t="s">
        <v>27</v>
      </c>
      <c r="D49" s="105"/>
      <c r="E49" s="105"/>
      <c r="F49" s="105"/>
      <c r="J49" s="227"/>
    </row>
    <row r="50" spans="1:10" s="103" customFormat="1" ht="27.65" customHeight="1" x14ac:dyDescent="0.25">
      <c r="A50" s="223" t="s">
        <v>119</v>
      </c>
      <c r="B50" s="224" t="s">
        <v>120</v>
      </c>
      <c r="C50" s="157" t="s">
        <v>27</v>
      </c>
      <c r="D50" s="105"/>
      <c r="E50" s="105"/>
      <c r="F50" s="105"/>
      <c r="J50" s="227"/>
    </row>
    <row r="51" spans="1:10" s="103" customFormat="1" ht="46.5" customHeight="1" x14ac:dyDescent="0.25">
      <c r="A51" s="223" t="s">
        <v>121</v>
      </c>
      <c r="B51" s="310" t="s">
        <v>1218</v>
      </c>
      <c r="C51" s="157" t="s">
        <v>27</v>
      </c>
      <c r="D51" s="105"/>
      <c r="E51" s="105"/>
      <c r="F51" s="105"/>
      <c r="J51" s="227"/>
    </row>
    <row r="52" spans="1:10" s="103" customFormat="1" ht="29.15" customHeight="1" x14ac:dyDescent="0.25">
      <c r="A52" s="223" t="s">
        <v>122</v>
      </c>
      <c r="B52" s="224" t="s">
        <v>123</v>
      </c>
      <c r="C52" s="157" t="s">
        <v>27</v>
      </c>
      <c r="D52" s="105"/>
      <c r="E52" s="105"/>
      <c r="F52" s="105"/>
      <c r="J52" s="227"/>
    </row>
    <row r="53" spans="1:10" s="103" customFormat="1" ht="29.15" customHeight="1" x14ac:dyDescent="0.25">
      <c r="A53" s="223" t="s">
        <v>124</v>
      </c>
      <c r="B53" s="224" t="s">
        <v>125</v>
      </c>
      <c r="C53" s="157" t="s">
        <v>27</v>
      </c>
      <c r="D53" s="105"/>
      <c r="E53" s="105"/>
      <c r="F53" s="105"/>
      <c r="J53" s="227"/>
    </row>
    <row r="54" spans="1:10" s="103" customFormat="1" ht="29.15" customHeight="1" x14ac:dyDescent="0.25">
      <c r="A54" s="223" t="s">
        <v>126</v>
      </c>
      <c r="B54" s="224" t="s">
        <v>127</v>
      </c>
      <c r="C54" s="157" t="s">
        <v>27</v>
      </c>
      <c r="D54" s="105"/>
      <c r="E54" s="105"/>
      <c r="F54" s="105"/>
      <c r="J54" s="227"/>
    </row>
    <row r="55" spans="1:10" s="103" customFormat="1" ht="29.15" customHeight="1" x14ac:dyDescent="0.25">
      <c r="A55" s="223" t="s">
        <v>128</v>
      </c>
      <c r="B55" s="224" t="s">
        <v>129</v>
      </c>
      <c r="C55" s="157" t="s">
        <v>27</v>
      </c>
      <c r="D55" s="105"/>
      <c r="E55" s="105"/>
      <c r="F55" s="105"/>
      <c r="J55" s="227"/>
    </row>
    <row r="56" spans="1:10" s="103" customFormat="1" ht="29.15" customHeight="1" x14ac:dyDescent="0.25">
      <c r="A56" s="223" t="s">
        <v>130</v>
      </c>
      <c r="B56" s="224" t="s">
        <v>131</v>
      </c>
      <c r="C56" s="157" t="s">
        <v>27</v>
      </c>
      <c r="D56" s="105"/>
      <c r="E56" s="105"/>
      <c r="F56" s="105"/>
      <c r="J56" s="227"/>
    </row>
    <row r="57" spans="1:10" s="103" customFormat="1" ht="29.15" customHeight="1" x14ac:dyDescent="0.25">
      <c r="A57" s="223" t="s">
        <v>132</v>
      </c>
      <c r="B57" s="224" t="s">
        <v>133</v>
      </c>
      <c r="C57" s="157" t="s">
        <v>27</v>
      </c>
      <c r="D57" s="105"/>
      <c r="E57" s="105"/>
      <c r="F57" s="105"/>
      <c r="J57" s="227"/>
    </row>
    <row r="58" spans="1:10" customFormat="1" ht="14.5" x14ac:dyDescent="0.25">
      <c r="A58" s="213" t="s">
        <v>134</v>
      </c>
      <c r="B58" s="213" t="s">
        <v>135</v>
      </c>
      <c r="C58" s="214" t="s">
        <v>136</v>
      </c>
      <c r="D58" s="213"/>
      <c r="E58" s="337"/>
      <c r="F58" s="213"/>
    </row>
    <row r="59" spans="1:10" customFormat="1" ht="35.5" customHeight="1" x14ac:dyDescent="0.25">
      <c r="A59" s="223" t="s">
        <v>137</v>
      </c>
      <c r="B59" s="297" t="s">
        <v>138</v>
      </c>
      <c r="C59" s="157" t="s">
        <v>27</v>
      </c>
      <c r="D59" s="105"/>
      <c r="E59" s="105"/>
      <c r="F59" s="105"/>
    </row>
    <row r="60" spans="1:10" customFormat="1" ht="104" x14ac:dyDescent="0.25">
      <c r="A60" s="223" t="s">
        <v>139</v>
      </c>
      <c r="B60" s="296" t="s">
        <v>140</v>
      </c>
      <c r="C60" s="157" t="s">
        <v>27</v>
      </c>
      <c r="D60" s="105"/>
      <c r="E60" s="105"/>
      <c r="F60" s="105"/>
    </row>
    <row r="61" spans="1:10" customFormat="1" ht="14.5" x14ac:dyDescent="0.25">
      <c r="A61" s="213" t="s">
        <v>141</v>
      </c>
      <c r="B61" s="213" t="s">
        <v>142</v>
      </c>
      <c r="C61" s="214"/>
      <c r="D61" s="213"/>
      <c r="E61" s="337"/>
      <c r="F61" s="213"/>
    </row>
    <row r="62" spans="1:10" customFormat="1" ht="22.5" customHeight="1" x14ac:dyDescent="0.25">
      <c r="A62" s="223" t="s">
        <v>143</v>
      </c>
      <c r="B62" s="296" t="s">
        <v>144</v>
      </c>
      <c r="C62" s="157" t="s">
        <v>27</v>
      </c>
      <c r="D62" s="105"/>
      <c r="E62" s="105"/>
      <c r="F62" s="105"/>
    </row>
    <row r="63" spans="1:10" customFormat="1" ht="52" x14ac:dyDescent="0.25">
      <c r="A63" s="223" t="s">
        <v>145</v>
      </c>
      <c r="B63" s="296" t="s">
        <v>146</v>
      </c>
      <c r="C63" s="157" t="s">
        <v>27</v>
      </c>
      <c r="D63" s="105"/>
      <c r="E63" s="105"/>
      <c r="F63" s="105"/>
    </row>
    <row r="64" spans="1:10" customFormat="1" ht="26" x14ac:dyDescent="0.25">
      <c r="A64" s="223" t="s">
        <v>147</v>
      </c>
      <c r="B64" s="296" t="s">
        <v>148</v>
      </c>
      <c r="C64" s="157" t="s">
        <v>27</v>
      </c>
      <c r="D64" s="105"/>
      <c r="E64" s="105"/>
      <c r="F64" s="105"/>
    </row>
    <row r="65" spans="1:14" customFormat="1" ht="14.5" x14ac:dyDescent="0.25">
      <c r="A65" s="213" t="s">
        <v>149</v>
      </c>
      <c r="B65" s="213" t="s">
        <v>150</v>
      </c>
      <c r="C65" s="214"/>
      <c r="D65" s="213"/>
      <c r="E65" s="337"/>
      <c r="F65" s="213"/>
    </row>
    <row r="66" spans="1:14" customFormat="1" ht="39" x14ac:dyDescent="0.25">
      <c r="A66" s="223" t="s">
        <v>151</v>
      </c>
      <c r="B66" s="296" t="s">
        <v>152</v>
      </c>
      <c r="C66" s="157" t="s">
        <v>27</v>
      </c>
      <c r="D66" s="105"/>
      <c r="E66" s="105"/>
      <c r="F66" s="105"/>
    </row>
    <row r="67" spans="1:14" customFormat="1" ht="13" x14ac:dyDescent="0.25">
      <c r="A67" s="223" t="s">
        <v>153</v>
      </c>
      <c r="B67" s="296" t="s">
        <v>154</v>
      </c>
      <c r="C67" s="157" t="s">
        <v>27</v>
      </c>
      <c r="D67" s="105"/>
      <c r="E67" s="105"/>
      <c r="F67" s="105"/>
    </row>
    <row r="68" spans="1:14" customFormat="1" ht="91" x14ac:dyDescent="0.25">
      <c r="A68" s="223" t="s">
        <v>155</v>
      </c>
      <c r="B68" s="296" t="s">
        <v>156</v>
      </c>
      <c r="C68" s="157" t="s">
        <v>27</v>
      </c>
      <c r="D68" s="105"/>
      <c r="E68" s="105"/>
      <c r="F68" s="105"/>
    </row>
    <row r="69" spans="1:14" customFormat="1" ht="26" x14ac:dyDescent="0.25">
      <c r="A69" s="223" t="s">
        <v>157</v>
      </c>
      <c r="B69" s="296" t="s">
        <v>158</v>
      </c>
      <c r="C69" s="157" t="s">
        <v>27</v>
      </c>
      <c r="D69" s="105"/>
      <c r="E69" s="105"/>
      <c r="F69" s="105"/>
    </row>
    <row r="70" spans="1:14" customFormat="1" ht="14.5" x14ac:dyDescent="0.25">
      <c r="A70" s="213" t="s">
        <v>159</v>
      </c>
      <c r="B70" s="213" t="s">
        <v>160</v>
      </c>
      <c r="C70" s="214"/>
      <c r="D70" s="213"/>
      <c r="E70" s="337"/>
      <c r="F70" s="213"/>
      <c r="J70" t="s">
        <v>161</v>
      </c>
    </row>
    <row r="71" spans="1:14" ht="56.25" customHeight="1" x14ac:dyDescent="0.3">
      <c r="A71" s="223" t="s">
        <v>162</v>
      </c>
      <c r="B71" s="296" t="s">
        <v>163</v>
      </c>
      <c r="C71" s="273" t="s">
        <v>6</v>
      </c>
      <c r="D71" s="228"/>
      <c r="E71" s="105">
        <f>IF(D71=J70,1,(IF(D71=J71,2,(IF(D71=J72,1,0)))))</f>
        <v>0</v>
      </c>
      <c r="F71" s="294">
        <f>(Jämförelsesumma!$E$6/Jämförelsesumma!$F$6)*E71</f>
        <v>0</v>
      </c>
      <c r="J71" s="99" t="s">
        <v>164</v>
      </c>
      <c r="N71" s="99" t="s">
        <v>165</v>
      </c>
    </row>
    <row r="72" spans="1:14" customFormat="1" ht="14.5" x14ac:dyDescent="0.25">
      <c r="A72" s="213" t="s">
        <v>166</v>
      </c>
      <c r="B72" s="213" t="s">
        <v>167</v>
      </c>
      <c r="C72" s="214"/>
      <c r="D72" s="213"/>
      <c r="E72" s="337"/>
      <c r="F72" s="213"/>
      <c r="J72" s="341" t="s">
        <v>1172</v>
      </c>
    </row>
    <row r="73" spans="1:14" customFormat="1" ht="13" x14ac:dyDescent="0.25">
      <c r="A73" s="223" t="s">
        <v>168</v>
      </c>
      <c r="B73" s="296" t="s">
        <v>169</v>
      </c>
      <c r="C73" s="157" t="s">
        <v>27</v>
      </c>
      <c r="D73" s="105"/>
      <c r="E73" s="105"/>
      <c r="F73" s="105"/>
    </row>
    <row r="74" spans="1:14" ht="12.65" hidden="1" customHeight="1" x14ac:dyDescent="0.3"/>
    <row r="75" spans="1:14" ht="12.75" customHeight="1" x14ac:dyDescent="0.3">
      <c r="C75" s="103" t="s">
        <v>170</v>
      </c>
      <c r="E75" s="108">
        <f>SUM(E6:E73)</f>
        <v>0</v>
      </c>
      <c r="F75" s="197"/>
    </row>
    <row r="1048521" spans="5:6" ht="12.75" customHeight="1" x14ac:dyDescent="0.3">
      <c r="E1048521" s="98"/>
      <c r="F1048521" s="98"/>
    </row>
    <row r="1048522" spans="5:6" ht="12.75" customHeight="1" x14ac:dyDescent="0.3">
      <c r="E1048522" s="129"/>
      <c r="F1048522" s="129"/>
    </row>
    <row r="1048523" spans="5:6" ht="12.75" customHeight="1" x14ac:dyDescent="0.3">
      <c r="E1048523" s="129"/>
      <c r="F1048523" s="129"/>
    </row>
    <row r="1048524" spans="5:6" ht="12.75" customHeight="1" x14ac:dyDescent="0.3">
      <c r="E1048524" s="129"/>
      <c r="F1048524" s="129"/>
    </row>
    <row r="1048526" spans="5:6" ht="12.75" customHeight="1" x14ac:dyDescent="0.3">
      <c r="E1048526" s="135"/>
      <c r="F1048526" s="135"/>
    </row>
    <row r="1048527" spans="5:6" ht="12.75" customHeight="1" x14ac:dyDescent="0.3">
      <c r="E1048527" s="129"/>
      <c r="F1048527" s="129"/>
    </row>
    <row r="1048529" spans="5:6" ht="12.75" customHeight="1" x14ac:dyDescent="0.3">
      <c r="E1048529" s="340"/>
      <c r="F1048529" s="112"/>
    </row>
    <row r="1048530" spans="5:6" ht="12.75" customHeight="1" x14ac:dyDescent="0.3">
      <c r="E1048530" s="129"/>
      <c r="F1048530" s="129"/>
    </row>
  </sheetData>
  <autoFilter ref="A3:H73" xr:uid="{00000000-0001-0000-0100-000000000000}"/>
  <phoneticPr fontId="0" type="noConversion"/>
  <dataValidations count="4">
    <dataValidation type="list" allowBlank="1" showInputMessage="1" showErrorMessage="1" sqref="D6:E6 D40 D37:D38 D26 D29:D30" xr:uid="{F3188EE2-AAEF-43E1-A419-EE80269756A4}">
      <formula1>$G$3:$H$3</formula1>
    </dataValidation>
    <dataValidation type="list" allowBlank="1" showInputMessage="1" showErrorMessage="1" sqref="D71" xr:uid="{2A2B19D5-6CE4-4797-95EC-DB0CA45D48BE}">
      <formula1>$J$70:$J$72</formula1>
    </dataValidation>
    <dataValidation type="list" allowBlank="1" showInputMessage="1" showErrorMessage="1" sqref="D31" xr:uid="{942188DA-8F98-4F4B-B128-C6BC471BDA23}">
      <formula1>$O$29:$O$31</formula1>
    </dataValidation>
    <dataValidation type="list" allowBlank="1" showInputMessage="1" showErrorMessage="1" sqref="C37:C38 D38" xr:uid="{F12F6F81-889B-4FF2-A03D-D04D62610132}">
      <formula1>$J$29:$J$33</formula1>
    </dataValidation>
  </dataValidations>
  <pageMargins left="0.74803149606299213" right="0.55118110236220474" top="0.98425196850393704" bottom="0.98425196850393704" header="0.51181102362204722" footer="0.51181102362204722"/>
  <pageSetup paperSize="9" fitToHeight="0" orientation="landscape" r:id="rId1"/>
  <headerFooter alignWithMargins="0">
    <oddFooter>&amp;C_x000D_&amp;1#&amp;"Arial"&amp;9&amp;K000000 Confidential&amp;RPage &amp;P(&amp;N)</oddFooter>
  </headerFooter>
  <ignoredErrors>
    <ignoredError sqref="E1" unlocked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54"/>
  <sheetViews>
    <sheetView showGridLines="0" topLeftCell="B1" zoomScale="115" zoomScaleNormal="115" workbookViewId="0">
      <pane ySplit="3" topLeftCell="A4" activePane="bottomLeft" state="frozen"/>
      <selection pane="bottomLeft" activeCell="B15" sqref="B15"/>
    </sheetView>
  </sheetViews>
  <sheetFormatPr defaultColWidth="12.1796875" defaultRowHeight="12.75" customHeight="1" x14ac:dyDescent="0.3"/>
  <cols>
    <col min="1" max="1" width="8.54296875" style="106" customWidth="1"/>
    <col min="2" max="2" width="80.453125" style="109" customWidth="1"/>
    <col min="3" max="6" width="13.54296875" style="110" customWidth="1"/>
    <col min="7" max="7" width="18" style="102" hidden="1" customWidth="1"/>
    <col min="8" max="9" width="12.1796875" style="99" hidden="1" customWidth="1"/>
    <col min="10" max="16384" width="12.1796875" style="99"/>
  </cols>
  <sheetData>
    <row r="1" spans="1:12" customFormat="1" ht="20.149999999999999" customHeight="1" x14ac:dyDescent="0.25">
      <c r="A1" s="203" t="str">
        <f>'1. Generellt'!A1</f>
        <v>Ekonomisystem, UPP-2025/047</v>
      </c>
      <c r="B1" s="203"/>
      <c r="C1" s="166" t="s">
        <v>1</v>
      </c>
      <c r="D1" s="166">
        <f>Information!D1</f>
        <v>0</v>
      </c>
      <c r="E1" s="166"/>
      <c r="F1" s="166"/>
      <c r="G1" s="136"/>
      <c r="H1" s="345" t="s">
        <v>18</v>
      </c>
      <c r="I1" s="345" t="s">
        <v>19</v>
      </c>
      <c r="J1" s="136"/>
      <c r="K1" s="136"/>
      <c r="L1" s="136"/>
    </row>
    <row r="2" spans="1:12" customFormat="1" ht="26.5" customHeight="1" x14ac:dyDescent="0.25"/>
    <row r="3" spans="1:12" customFormat="1" ht="43.5" x14ac:dyDescent="0.25">
      <c r="A3" s="213">
        <v>2</v>
      </c>
      <c r="B3" s="213" t="s">
        <v>171</v>
      </c>
      <c r="C3" s="214" t="s">
        <v>14</v>
      </c>
      <c r="D3" s="214" t="s">
        <v>15</v>
      </c>
      <c r="E3" s="214" t="s">
        <v>16</v>
      </c>
      <c r="F3" s="214" t="s">
        <v>17</v>
      </c>
    </row>
    <row r="4" spans="1:12" s="218" customFormat="1" ht="18.5" x14ac:dyDescent="0.35">
      <c r="A4" s="215" t="s">
        <v>20</v>
      </c>
      <c r="B4" s="215" t="s">
        <v>21</v>
      </c>
      <c r="C4" s="216"/>
      <c r="D4" s="216"/>
      <c r="E4" s="216"/>
      <c r="F4" s="216"/>
      <c r="G4" s="103"/>
      <c r="H4" s="103"/>
      <c r="I4" s="103"/>
    </row>
    <row r="5" spans="1:12" s="100" customFormat="1" ht="14.5" x14ac:dyDescent="0.25">
      <c r="A5" s="213" t="s">
        <v>172</v>
      </c>
      <c r="B5" s="213" t="s">
        <v>23</v>
      </c>
      <c r="C5" s="214"/>
      <c r="D5" s="214"/>
      <c r="E5" s="214"/>
      <c r="F5" s="214"/>
    </row>
    <row r="6" spans="1:12" s="103" customFormat="1" ht="17.25" customHeight="1" x14ac:dyDescent="0.25">
      <c r="A6" s="101" t="s">
        <v>173</v>
      </c>
      <c r="B6" s="219" t="s">
        <v>174</v>
      </c>
      <c r="C6" s="157" t="s">
        <v>27</v>
      </c>
      <c r="D6" s="157"/>
      <c r="E6" s="157"/>
      <c r="F6" s="157"/>
    </row>
    <row r="7" spans="1:12" s="103" customFormat="1" ht="26" x14ac:dyDescent="0.25">
      <c r="A7" s="104" t="s">
        <v>175</v>
      </c>
      <c r="B7" s="220" t="s">
        <v>176</v>
      </c>
      <c r="C7" s="157" t="s">
        <v>27</v>
      </c>
      <c r="D7" s="157"/>
      <c r="E7" s="157"/>
      <c r="F7" s="157"/>
    </row>
    <row r="8" spans="1:12" s="103" customFormat="1" ht="18" customHeight="1" x14ac:dyDescent="0.25">
      <c r="A8" s="101" t="s">
        <v>177</v>
      </c>
      <c r="B8" s="220" t="s">
        <v>178</v>
      </c>
      <c r="C8" s="157" t="s">
        <v>27</v>
      </c>
      <c r="D8" s="157"/>
      <c r="E8" s="157"/>
      <c r="F8" s="157"/>
    </row>
    <row r="9" spans="1:12" s="103" customFormat="1" ht="13" x14ac:dyDescent="0.25">
      <c r="A9" s="104" t="s">
        <v>179</v>
      </c>
      <c r="B9" s="220" t="s">
        <v>180</v>
      </c>
      <c r="C9" s="157" t="s">
        <v>27</v>
      </c>
      <c r="D9" s="157"/>
      <c r="E9" s="157"/>
      <c r="F9" s="157"/>
    </row>
    <row r="10" spans="1:12" s="103" customFormat="1" ht="26" x14ac:dyDescent="0.25">
      <c r="A10" s="104" t="s">
        <v>181</v>
      </c>
      <c r="B10" s="220" t="s">
        <v>182</v>
      </c>
      <c r="C10" s="157" t="s">
        <v>27</v>
      </c>
      <c r="D10" s="157"/>
      <c r="E10" s="157"/>
      <c r="F10" s="157"/>
    </row>
    <row r="11" spans="1:12" s="103" customFormat="1" ht="26" x14ac:dyDescent="0.25">
      <c r="A11" s="104" t="s">
        <v>183</v>
      </c>
      <c r="B11" s="220" t="s">
        <v>184</v>
      </c>
      <c r="C11" s="157" t="s">
        <v>27</v>
      </c>
      <c r="D11" s="157"/>
      <c r="E11" s="157"/>
      <c r="F11" s="157"/>
    </row>
    <row r="12" spans="1:12" s="103" customFormat="1" ht="13" x14ac:dyDescent="0.25">
      <c r="A12" s="101" t="s">
        <v>185</v>
      </c>
      <c r="B12" s="220" t="s">
        <v>186</v>
      </c>
      <c r="C12" s="157" t="s">
        <v>27</v>
      </c>
      <c r="D12" s="157"/>
      <c r="E12" s="157"/>
      <c r="F12" s="157"/>
    </row>
    <row r="13" spans="1:12" s="100" customFormat="1" ht="14.5" x14ac:dyDescent="0.25">
      <c r="A13" s="213" t="s">
        <v>187</v>
      </c>
      <c r="B13" s="213" t="s">
        <v>188</v>
      </c>
      <c r="C13" s="214"/>
      <c r="D13" s="214"/>
      <c r="E13" s="214"/>
      <c r="F13" s="214"/>
    </row>
    <row r="14" spans="1:12" s="103" customFormat="1" ht="13" x14ac:dyDescent="0.25">
      <c r="A14" s="101" t="s">
        <v>189</v>
      </c>
      <c r="B14" s="219" t="s">
        <v>190</v>
      </c>
      <c r="C14" s="157" t="s">
        <v>27</v>
      </c>
      <c r="D14" s="157"/>
      <c r="E14" s="157"/>
      <c r="F14" s="157"/>
    </row>
    <row r="15" spans="1:12" s="103" customFormat="1" ht="29.25" customHeight="1" x14ac:dyDescent="0.25">
      <c r="A15" s="104" t="s">
        <v>191</v>
      </c>
      <c r="B15" s="222" t="s">
        <v>192</v>
      </c>
      <c r="C15" s="157" t="s">
        <v>27</v>
      </c>
      <c r="D15" s="157"/>
      <c r="E15" s="157"/>
      <c r="F15" s="157"/>
    </row>
    <row r="16" spans="1:12" s="103" customFormat="1" ht="13" x14ac:dyDescent="0.25">
      <c r="A16" s="101" t="s">
        <v>193</v>
      </c>
      <c r="B16" s="222" t="s">
        <v>194</v>
      </c>
      <c r="C16" s="157" t="s">
        <v>27</v>
      </c>
      <c r="D16" s="157"/>
      <c r="E16" s="157"/>
      <c r="F16" s="157"/>
    </row>
    <row r="17" spans="1:7" s="103" customFormat="1" ht="31" customHeight="1" x14ac:dyDescent="0.25">
      <c r="A17" s="104" t="s">
        <v>195</v>
      </c>
      <c r="B17" s="222" t="s">
        <v>196</v>
      </c>
      <c r="C17" s="157" t="s">
        <v>27</v>
      </c>
      <c r="D17" s="157"/>
      <c r="E17" s="157"/>
      <c r="F17" s="157"/>
    </row>
    <row r="18" spans="1:7" s="103" customFormat="1" ht="13" x14ac:dyDescent="0.25">
      <c r="A18" s="101" t="s">
        <v>197</v>
      </c>
      <c r="B18" s="222" t="s">
        <v>198</v>
      </c>
      <c r="C18" s="157" t="s">
        <v>27</v>
      </c>
      <c r="D18" s="157"/>
      <c r="E18" s="157"/>
      <c r="F18" s="157"/>
    </row>
    <row r="19" spans="1:7" s="103" customFormat="1" ht="43.5" customHeight="1" x14ac:dyDescent="0.25">
      <c r="A19" s="104" t="s">
        <v>199</v>
      </c>
      <c r="B19" s="222" t="s">
        <v>200</v>
      </c>
      <c r="C19" s="157" t="s">
        <v>27</v>
      </c>
      <c r="D19" s="157"/>
      <c r="E19" s="157"/>
      <c r="F19" s="157"/>
    </row>
    <row r="20" spans="1:7" s="103" customFormat="1" ht="27.65" customHeight="1" x14ac:dyDescent="0.25">
      <c r="A20" s="104" t="s">
        <v>201</v>
      </c>
      <c r="B20" s="222" t="s">
        <v>202</v>
      </c>
      <c r="C20" s="157" t="s">
        <v>27</v>
      </c>
      <c r="D20" s="157"/>
      <c r="E20" s="157"/>
      <c r="F20" s="157"/>
    </row>
    <row r="21" spans="1:7" s="103" customFormat="1" ht="27.65" customHeight="1" x14ac:dyDescent="0.25">
      <c r="A21" s="101" t="s">
        <v>204</v>
      </c>
      <c r="B21" s="222" t="s">
        <v>203</v>
      </c>
      <c r="C21" s="157" t="s">
        <v>27</v>
      </c>
      <c r="D21" s="157"/>
      <c r="E21" s="157"/>
      <c r="F21" s="157"/>
      <c r="G21" s="308" t="s">
        <v>26</v>
      </c>
    </row>
    <row r="22" spans="1:7" s="103" customFormat="1" ht="13" x14ac:dyDescent="0.25">
      <c r="A22" s="104" t="s">
        <v>206</v>
      </c>
      <c r="B22" s="222" t="s">
        <v>205</v>
      </c>
      <c r="C22" s="157" t="s">
        <v>27</v>
      </c>
      <c r="D22" s="157"/>
      <c r="E22" s="157"/>
      <c r="F22" s="157"/>
    </row>
    <row r="23" spans="1:7" s="103" customFormat="1" ht="13" x14ac:dyDescent="0.25">
      <c r="A23" s="101" t="s">
        <v>1173</v>
      </c>
      <c r="B23" s="222" t="s">
        <v>207</v>
      </c>
      <c r="C23" s="157" t="s">
        <v>27</v>
      </c>
      <c r="D23" s="157"/>
      <c r="E23" s="157"/>
      <c r="F23" s="157"/>
    </row>
    <row r="24" spans="1:7" s="103" customFormat="1" ht="13" x14ac:dyDescent="0.25">
      <c r="A24" s="101" t="s">
        <v>1194</v>
      </c>
      <c r="B24" s="102" t="s">
        <v>1195</v>
      </c>
      <c r="C24" s="157" t="s">
        <v>6</v>
      </c>
      <c r="D24" s="327"/>
      <c r="E24" s="157">
        <f>IF(D24=H1,5,0)</f>
        <v>0</v>
      </c>
      <c r="F24" s="294">
        <f>(Jämförelsesumma!$E$6/Jämförelsesumma!$F$6)*E24</f>
        <v>0</v>
      </c>
    </row>
    <row r="25" spans="1:7" s="100" customFormat="1" ht="14.5" x14ac:dyDescent="0.25">
      <c r="A25" s="213" t="s">
        <v>208</v>
      </c>
      <c r="B25" s="213" t="s">
        <v>209</v>
      </c>
      <c r="C25" s="214"/>
      <c r="D25" s="214"/>
      <c r="E25" s="214"/>
      <c r="F25" s="214"/>
      <c r="G25" s="302"/>
    </row>
    <row r="26" spans="1:7" s="103" customFormat="1" ht="39.75" customHeight="1" x14ac:dyDescent="0.25">
      <c r="A26" s="101" t="s">
        <v>210</v>
      </c>
      <c r="B26" s="219" t="s">
        <v>211</v>
      </c>
      <c r="C26" s="157" t="s">
        <v>27</v>
      </c>
      <c r="D26" s="157"/>
      <c r="E26" s="157"/>
      <c r="F26" s="157"/>
    </row>
    <row r="27" spans="1:7" s="103" customFormat="1" ht="32.5" customHeight="1" x14ac:dyDescent="0.25">
      <c r="A27" s="101" t="s">
        <v>212</v>
      </c>
      <c r="B27" s="222" t="s">
        <v>213</v>
      </c>
      <c r="C27" s="157" t="s">
        <v>27</v>
      </c>
      <c r="D27" s="157"/>
      <c r="E27" s="157"/>
      <c r="F27" s="157"/>
    </row>
    <row r="28" spans="1:7" s="103" customFormat="1" ht="13" x14ac:dyDescent="0.25">
      <c r="A28" s="101" t="s">
        <v>214</v>
      </c>
      <c r="B28" s="222" t="s">
        <v>215</v>
      </c>
      <c r="C28" s="157" t="s">
        <v>27</v>
      </c>
      <c r="D28" s="157"/>
      <c r="E28" s="157"/>
      <c r="F28" s="157"/>
    </row>
    <row r="29" spans="1:7" s="103" customFormat="1" ht="32.5" customHeight="1" x14ac:dyDescent="0.25">
      <c r="A29" s="101" t="s">
        <v>216</v>
      </c>
      <c r="B29" s="222" t="s">
        <v>1193</v>
      </c>
      <c r="C29" s="157" t="s">
        <v>27</v>
      </c>
      <c r="D29" s="157"/>
      <c r="E29" s="157"/>
      <c r="F29" s="157"/>
    </row>
    <row r="30" spans="1:7" s="103" customFormat="1" ht="24" customHeight="1" x14ac:dyDescent="0.25">
      <c r="A30" s="101" t="s">
        <v>217</v>
      </c>
      <c r="B30" s="222" t="s">
        <v>218</v>
      </c>
      <c r="C30" s="157" t="s">
        <v>27</v>
      </c>
      <c r="D30" s="157"/>
      <c r="E30" s="157"/>
      <c r="F30" s="157"/>
      <c r="G30" s="308" t="s">
        <v>26</v>
      </c>
    </row>
    <row r="31" spans="1:7" s="100" customFormat="1" ht="14.5" x14ac:dyDescent="0.25">
      <c r="A31" s="213" t="s">
        <v>219</v>
      </c>
      <c r="B31" s="213" t="s">
        <v>220</v>
      </c>
      <c r="C31" s="214"/>
      <c r="D31" s="214"/>
      <c r="E31" s="214"/>
      <c r="F31" s="214"/>
    </row>
    <row r="32" spans="1:7" s="103" customFormat="1" ht="13" x14ac:dyDescent="0.25">
      <c r="A32" s="101" t="s">
        <v>221</v>
      </c>
      <c r="B32" s="222" t="s">
        <v>222</v>
      </c>
      <c r="C32" s="157" t="s">
        <v>27</v>
      </c>
      <c r="D32" s="157"/>
      <c r="E32" s="157"/>
      <c r="F32" s="157"/>
    </row>
    <row r="33" spans="1:6" s="103" customFormat="1" ht="13" x14ac:dyDescent="0.25">
      <c r="A33" s="101" t="s">
        <v>223</v>
      </c>
      <c r="B33" s="222" t="s">
        <v>224</v>
      </c>
      <c r="C33" s="157" t="s">
        <v>27</v>
      </c>
      <c r="D33" s="157"/>
      <c r="E33" s="157"/>
      <c r="F33" s="157"/>
    </row>
    <row r="34" spans="1:6" s="103" customFormat="1" ht="13" x14ac:dyDescent="0.25">
      <c r="A34" s="101" t="s">
        <v>225</v>
      </c>
      <c r="B34" s="222" t="s">
        <v>226</v>
      </c>
      <c r="C34" s="157" t="s">
        <v>27</v>
      </c>
      <c r="D34" s="157"/>
      <c r="E34" s="157"/>
      <c r="F34" s="157"/>
    </row>
    <row r="35" spans="1:6" s="103" customFormat="1" ht="13" x14ac:dyDescent="0.25">
      <c r="A35" s="101" t="s">
        <v>227</v>
      </c>
      <c r="B35" s="222" t="s">
        <v>228</v>
      </c>
      <c r="C35" s="157" t="s">
        <v>27</v>
      </c>
      <c r="D35" s="157"/>
      <c r="E35" s="157"/>
      <c r="F35" s="157"/>
    </row>
    <row r="36" spans="1:6" s="103" customFormat="1" ht="13" x14ac:dyDescent="0.25">
      <c r="A36" s="101" t="s">
        <v>229</v>
      </c>
      <c r="B36" s="222" t="s">
        <v>230</v>
      </c>
      <c r="C36" s="157" t="s">
        <v>27</v>
      </c>
      <c r="D36" s="157"/>
      <c r="E36" s="157"/>
      <c r="F36" s="157"/>
    </row>
    <row r="37" spans="1:6" s="103" customFormat="1" ht="26" x14ac:dyDescent="0.25">
      <c r="A37" s="101" t="s">
        <v>231</v>
      </c>
      <c r="B37" s="222" t="s">
        <v>232</v>
      </c>
      <c r="C37" s="157" t="s">
        <v>27</v>
      </c>
      <c r="D37" s="157"/>
      <c r="E37" s="157"/>
      <c r="F37" s="157"/>
    </row>
    <row r="38" spans="1:6" s="103" customFormat="1" ht="13" x14ac:dyDescent="0.25">
      <c r="A38" s="101" t="s">
        <v>233</v>
      </c>
      <c r="B38" s="222" t="s">
        <v>234</v>
      </c>
      <c r="C38" s="157" t="s">
        <v>27</v>
      </c>
      <c r="D38" s="157"/>
      <c r="E38" s="157"/>
      <c r="F38" s="157"/>
    </row>
    <row r="39" spans="1:6" s="100" customFormat="1" ht="14.5" x14ac:dyDescent="0.25">
      <c r="A39" s="213" t="s">
        <v>235</v>
      </c>
      <c r="B39" s="213" t="s">
        <v>110</v>
      </c>
      <c r="C39" s="214"/>
      <c r="D39" s="214"/>
      <c r="E39" s="214"/>
      <c r="F39" s="214"/>
    </row>
    <row r="40" spans="1:6" s="103" customFormat="1" ht="26" x14ac:dyDescent="0.25">
      <c r="A40" s="101" t="s">
        <v>236</v>
      </c>
      <c r="B40" s="222" t="s">
        <v>237</v>
      </c>
      <c r="C40" s="157" t="s">
        <v>27</v>
      </c>
      <c r="D40" s="157"/>
      <c r="E40" s="157"/>
      <c r="F40" s="157"/>
    </row>
    <row r="41" spans="1:6" s="103" customFormat="1" ht="13" x14ac:dyDescent="0.25">
      <c r="A41" s="101" t="s">
        <v>238</v>
      </c>
      <c r="B41" s="222" t="s">
        <v>239</v>
      </c>
      <c r="C41" s="157" t="s">
        <v>27</v>
      </c>
      <c r="D41" s="157"/>
      <c r="E41" s="157"/>
      <c r="F41" s="157"/>
    </row>
    <row r="42" spans="1:6" s="103" customFormat="1" ht="26" x14ac:dyDescent="0.25">
      <c r="A42" s="101" t="s">
        <v>240</v>
      </c>
      <c r="B42" s="222" t="s">
        <v>241</v>
      </c>
      <c r="C42" s="157" t="s">
        <v>27</v>
      </c>
      <c r="D42" s="157"/>
      <c r="E42" s="157"/>
      <c r="F42" s="157"/>
    </row>
    <row r="43" spans="1:6" s="103" customFormat="1" ht="30" customHeight="1" x14ac:dyDescent="0.25">
      <c r="A43" s="101" t="s">
        <v>242</v>
      </c>
      <c r="B43" s="222" t="s">
        <v>243</v>
      </c>
      <c r="C43" s="157" t="s">
        <v>27</v>
      </c>
      <c r="D43" s="157"/>
      <c r="E43" s="157"/>
      <c r="F43" s="157"/>
    </row>
    <row r="44" spans="1:6" s="103" customFormat="1" ht="26" x14ac:dyDescent="0.25">
      <c r="A44" s="101" t="s">
        <v>244</v>
      </c>
      <c r="B44" s="222" t="s">
        <v>245</v>
      </c>
      <c r="C44" s="157" t="s">
        <v>27</v>
      </c>
      <c r="D44" s="157"/>
      <c r="E44" s="157"/>
      <c r="F44" s="157"/>
    </row>
    <row r="45" spans="1:6" s="103" customFormat="1" ht="26" x14ac:dyDescent="0.25">
      <c r="A45" s="101" t="s">
        <v>246</v>
      </c>
      <c r="B45" s="222" t="s">
        <v>247</v>
      </c>
      <c r="C45" s="157" t="s">
        <v>27</v>
      </c>
      <c r="D45" s="157"/>
      <c r="E45" s="157"/>
      <c r="F45" s="157"/>
    </row>
    <row r="46" spans="1:6" s="103" customFormat="1" ht="26" x14ac:dyDescent="0.25">
      <c r="A46" s="101" t="s">
        <v>248</v>
      </c>
      <c r="B46" s="222" t="s">
        <v>249</v>
      </c>
      <c r="C46" s="157" t="s">
        <v>27</v>
      </c>
      <c r="D46" s="157"/>
      <c r="E46" s="157"/>
      <c r="F46" s="157"/>
    </row>
    <row r="47" spans="1:6" s="103" customFormat="1" ht="26" x14ac:dyDescent="0.25">
      <c r="A47" s="101" t="s">
        <v>250</v>
      </c>
      <c r="B47" s="222" t="s">
        <v>251</v>
      </c>
      <c r="C47" s="157" t="s">
        <v>27</v>
      </c>
      <c r="D47" s="157"/>
      <c r="E47" s="157"/>
      <c r="F47" s="157"/>
    </row>
    <row r="48" spans="1:6" s="103" customFormat="1" ht="13" x14ac:dyDescent="0.25">
      <c r="A48" s="101" t="s">
        <v>252</v>
      </c>
      <c r="B48" s="222" t="s">
        <v>253</v>
      </c>
      <c r="C48" s="157" t="s">
        <v>27</v>
      </c>
      <c r="D48" s="157"/>
      <c r="E48" s="157"/>
      <c r="F48" s="157"/>
    </row>
    <row r="49" spans="1:7" s="103" customFormat="1" ht="13" x14ac:dyDescent="0.25">
      <c r="A49" s="101" t="s">
        <v>254</v>
      </c>
      <c r="B49" s="222" t="s">
        <v>255</v>
      </c>
      <c r="C49" s="157" t="s">
        <v>27</v>
      </c>
      <c r="D49" s="157"/>
      <c r="E49" s="157"/>
      <c r="F49" s="157"/>
    </row>
    <row r="50" spans="1:7" s="103" customFormat="1" ht="13" x14ac:dyDescent="0.25">
      <c r="A50" s="101" t="s">
        <v>256</v>
      </c>
      <c r="B50" s="222" t="s">
        <v>257</v>
      </c>
      <c r="C50" s="157" t="s">
        <v>27</v>
      </c>
      <c r="D50" s="157"/>
      <c r="E50" s="157"/>
      <c r="F50" s="157"/>
    </row>
    <row r="51" spans="1:7" s="103" customFormat="1" ht="26" x14ac:dyDescent="0.25">
      <c r="A51" s="101" t="s">
        <v>258</v>
      </c>
      <c r="B51" s="222" t="s">
        <v>259</v>
      </c>
      <c r="C51" s="157" t="s">
        <v>27</v>
      </c>
      <c r="D51" s="157"/>
      <c r="E51" s="157"/>
      <c r="F51" s="157"/>
    </row>
    <row r="52" spans="1:7" s="103" customFormat="1" ht="26" x14ac:dyDescent="0.25">
      <c r="A52" s="101" t="s">
        <v>260</v>
      </c>
      <c r="B52" s="222" t="s">
        <v>261</v>
      </c>
      <c r="C52" s="157" t="s">
        <v>27</v>
      </c>
      <c r="D52" s="157"/>
      <c r="E52" s="157"/>
      <c r="F52" s="157"/>
    </row>
    <row r="53" spans="1:7" s="103" customFormat="1" ht="26" x14ac:dyDescent="0.25">
      <c r="A53" s="101" t="s">
        <v>1174</v>
      </c>
      <c r="B53" s="222" t="s">
        <v>262</v>
      </c>
      <c r="C53" s="157" t="s">
        <v>27</v>
      </c>
      <c r="D53" s="157"/>
      <c r="E53" s="157"/>
      <c r="F53" s="157"/>
      <c r="G53" s="301"/>
    </row>
    <row r="54" spans="1:7" ht="12.75" customHeight="1" x14ac:dyDescent="0.3">
      <c r="C54" s="103" t="s">
        <v>170</v>
      </c>
      <c r="E54" s="110">
        <f>SUM(E6:E53)</f>
        <v>0</v>
      </c>
    </row>
  </sheetData>
  <autoFilter ref="A3:C53" xr:uid="{00000000-0001-0000-0200-000000000000}"/>
  <phoneticPr fontId="11" type="noConversion"/>
  <dataValidations count="1">
    <dataValidation type="list" allowBlank="1" showInputMessage="1" showErrorMessage="1" sqref="D24" xr:uid="{7AD89B2A-8F2F-477B-B396-5CB56518688C}">
      <formula1>$H$1:$I$1</formula1>
    </dataValidation>
  </dataValidations>
  <pageMargins left="0.74803149606299213" right="0.55118110236220474" top="0.98425196850393704" bottom="0.98425196850393704" header="0.51181102362204722" footer="0.51181102362204722"/>
  <pageSetup paperSize="9" fitToHeight="0" orientation="landscape" r:id="rId1"/>
  <headerFooter alignWithMargins="0">
    <oddFooter>&amp;C_x000D_&amp;1#&amp;"Arial"&amp;9&amp;K000000 Confidential&amp;RPage &amp;P(&amp;N)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29C6F-C54F-47DE-A11E-3BD6A7AAAD9C}">
  <sheetPr>
    <pageSetUpPr fitToPage="1"/>
  </sheetPr>
  <dimension ref="A1:L109"/>
  <sheetViews>
    <sheetView showGridLines="0" zoomScale="115" zoomScaleNormal="115" workbookViewId="0">
      <pane ySplit="3" topLeftCell="A4" activePane="bottomLeft" state="frozen"/>
      <selection activeCell="B1" sqref="B1"/>
      <selection pane="bottomLeft" activeCell="R15" sqref="R15"/>
    </sheetView>
  </sheetViews>
  <sheetFormatPr defaultColWidth="9.1796875" defaultRowHeight="13" x14ac:dyDescent="0.3"/>
  <cols>
    <col min="1" max="1" width="6.81640625" style="113" customWidth="1"/>
    <col min="2" max="2" width="68.54296875" style="114" customWidth="1"/>
    <col min="3" max="3" width="9.54296875" style="115" customWidth="1"/>
    <col min="4" max="6" width="14.453125" style="115" customWidth="1"/>
    <col min="7" max="7" width="22.54296875" style="111" hidden="1" customWidth="1"/>
    <col min="8" max="8" width="14.26953125" style="111" hidden="1" customWidth="1"/>
    <col min="9" max="9" width="24.1796875" style="111" hidden="1" customWidth="1"/>
    <col min="10" max="16" width="0" style="111" hidden="1" customWidth="1"/>
    <col min="17" max="19" width="9.1796875" style="111"/>
    <col min="20" max="20" width="17.54296875" style="111" customWidth="1"/>
    <col min="21" max="16384" width="9.1796875" style="111"/>
  </cols>
  <sheetData>
    <row r="1" spans="1:12" customFormat="1" ht="22" customHeight="1" x14ac:dyDescent="0.25">
      <c r="A1" s="203" t="str">
        <f>'1. Generellt'!A1</f>
        <v>Ekonomisystem, UPP-2025/047</v>
      </c>
      <c r="B1" s="203"/>
      <c r="C1" s="108"/>
      <c r="D1" s="166" t="s">
        <v>1</v>
      </c>
      <c r="E1" s="208">
        <f>Information!D1</f>
        <v>0</v>
      </c>
      <c r="F1" s="208"/>
      <c r="G1" s="136"/>
      <c r="H1" s="136"/>
      <c r="I1" s="136"/>
      <c r="J1" s="136"/>
      <c r="K1" s="136"/>
      <c r="L1" s="136"/>
    </row>
    <row r="2" spans="1:12" customFormat="1" ht="26.15" customHeight="1" x14ac:dyDescent="0.25"/>
    <row r="3" spans="1:12" customFormat="1" ht="43.5" x14ac:dyDescent="0.25">
      <c r="A3" s="213">
        <v>3</v>
      </c>
      <c r="B3" s="213" t="s">
        <v>263</v>
      </c>
      <c r="C3" s="214" t="s">
        <v>14</v>
      </c>
      <c r="D3" s="214" t="s">
        <v>15</v>
      </c>
      <c r="E3" s="213" t="s">
        <v>16</v>
      </c>
      <c r="F3" s="214" t="s">
        <v>17</v>
      </c>
    </row>
    <row r="4" spans="1:12" s="218" customFormat="1" ht="18.5" x14ac:dyDescent="0.35">
      <c r="A4" s="215" t="s">
        <v>20</v>
      </c>
      <c r="B4" s="215" t="s">
        <v>21</v>
      </c>
      <c r="C4" s="216"/>
      <c r="D4" s="216"/>
      <c r="E4" s="216"/>
      <c r="F4" s="216"/>
    </row>
    <row r="5" spans="1:12" s="100" customFormat="1" ht="14.5" x14ac:dyDescent="0.25">
      <c r="A5" s="213" t="s">
        <v>264</v>
      </c>
      <c r="B5" s="213" t="s">
        <v>23</v>
      </c>
      <c r="C5" s="214"/>
      <c r="D5" s="214"/>
      <c r="E5" s="214"/>
      <c r="F5" s="214"/>
    </row>
    <row r="6" spans="1:12" s="119" customFormat="1" ht="24" customHeight="1" x14ac:dyDescent="0.25">
      <c r="A6" s="133" t="s">
        <v>265</v>
      </c>
      <c r="B6" s="231" t="s">
        <v>266</v>
      </c>
      <c r="C6" s="157" t="s">
        <v>267</v>
      </c>
      <c r="D6" s="230"/>
      <c r="E6" s="230"/>
      <c r="F6" s="230"/>
    </row>
    <row r="7" spans="1:12" s="119" customFormat="1" ht="33" customHeight="1" x14ac:dyDescent="0.25">
      <c r="A7" s="133" t="s">
        <v>268</v>
      </c>
      <c r="B7" s="231" t="s">
        <v>269</v>
      </c>
      <c r="C7" s="157" t="s">
        <v>27</v>
      </c>
      <c r="D7" s="230"/>
      <c r="E7" s="230"/>
      <c r="F7" s="230"/>
    </row>
    <row r="8" spans="1:12" s="119" customFormat="1" ht="24.65" customHeight="1" x14ac:dyDescent="0.25">
      <c r="A8" s="134" t="s">
        <v>270</v>
      </c>
      <c r="B8" s="231" t="s">
        <v>271</v>
      </c>
      <c r="C8" s="157" t="s">
        <v>27</v>
      </c>
      <c r="D8" s="230"/>
      <c r="E8" s="230"/>
      <c r="F8" s="230"/>
    </row>
    <row r="9" spans="1:12" s="119" customFormat="1" ht="26" x14ac:dyDescent="0.25">
      <c r="A9" s="133" t="s">
        <v>272</v>
      </c>
      <c r="B9" s="231" t="s">
        <v>273</v>
      </c>
      <c r="C9" s="157" t="s">
        <v>27</v>
      </c>
      <c r="D9" s="230"/>
      <c r="E9" s="230"/>
      <c r="F9" s="230"/>
    </row>
    <row r="10" spans="1:12" s="119" customFormat="1" ht="28" customHeight="1" x14ac:dyDescent="0.25">
      <c r="A10" s="134" t="s">
        <v>274</v>
      </c>
      <c r="B10" s="231" t="s">
        <v>275</v>
      </c>
      <c r="C10" s="157" t="s">
        <v>27</v>
      </c>
      <c r="D10" s="230"/>
      <c r="E10" s="230"/>
      <c r="F10" s="230"/>
    </row>
    <row r="11" spans="1:12" s="118" customFormat="1" ht="26" x14ac:dyDescent="0.3">
      <c r="A11" s="133" t="s">
        <v>276</v>
      </c>
      <c r="B11" s="232" t="s">
        <v>277</v>
      </c>
      <c r="C11" s="157" t="s">
        <v>27</v>
      </c>
      <c r="D11" s="230"/>
      <c r="E11" s="230"/>
      <c r="F11" s="230"/>
    </row>
    <row r="12" spans="1:12" s="118" customFormat="1" x14ac:dyDescent="0.3">
      <c r="A12" s="134" t="s">
        <v>278</v>
      </c>
      <c r="B12" s="233" t="s">
        <v>279</v>
      </c>
      <c r="C12" s="157" t="s">
        <v>27</v>
      </c>
      <c r="D12" s="230"/>
      <c r="E12" s="230"/>
      <c r="F12" s="230"/>
    </row>
    <row r="13" spans="1:12" s="119" customFormat="1" ht="26" x14ac:dyDescent="0.25">
      <c r="A13" s="133" t="s">
        <v>280</v>
      </c>
      <c r="B13" s="234" t="s">
        <v>281</v>
      </c>
      <c r="C13" s="157" t="s">
        <v>27</v>
      </c>
      <c r="D13" s="230"/>
      <c r="E13" s="230"/>
      <c r="F13" s="230"/>
    </row>
    <row r="14" spans="1:12" s="119" customFormat="1" ht="26" x14ac:dyDescent="0.25">
      <c r="A14" s="134" t="s">
        <v>282</v>
      </c>
      <c r="B14" s="235" t="s">
        <v>283</v>
      </c>
      <c r="C14" s="157" t="s">
        <v>27</v>
      </c>
      <c r="D14" s="230"/>
      <c r="E14" s="230"/>
      <c r="F14" s="230"/>
    </row>
    <row r="15" spans="1:12" s="119" customFormat="1" ht="26" x14ac:dyDescent="0.25">
      <c r="A15" s="133" t="s">
        <v>284</v>
      </c>
      <c r="B15" s="235" t="s">
        <v>285</v>
      </c>
      <c r="C15" s="157" t="s">
        <v>27</v>
      </c>
      <c r="D15" s="230"/>
      <c r="E15" s="230"/>
      <c r="F15" s="230"/>
    </row>
    <row r="16" spans="1:12" s="119" customFormat="1" ht="20.149999999999999" customHeight="1" x14ac:dyDescent="0.25">
      <c r="A16" s="134" t="s">
        <v>286</v>
      </c>
      <c r="B16" s="235" t="s">
        <v>287</v>
      </c>
      <c r="C16" s="157" t="s">
        <v>27</v>
      </c>
      <c r="D16" s="230"/>
      <c r="E16" s="230"/>
      <c r="F16" s="230"/>
    </row>
    <row r="17" spans="1:9" s="119" customFormat="1" ht="30.65" customHeight="1" x14ac:dyDescent="0.25">
      <c r="A17" s="133" t="s">
        <v>288</v>
      </c>
      <c r="B17" s="236" t="s">
        <v>289</v>
      </c>
      <c r="C17" s="157" t="s">
        <v>27</v>
      </c>
      <c r="D17" s="230"/>
      <c r="E17" s="230"/>
      <c r="F17" s="230"/>
    </row>
    <row r="18" spans="1:9" s="119" customFormat="1" ht="26" x14ac:dyDescent="0.25">
      <c r="A18" s="134" t="s">
        <v>290</v>
      </c>
      <c r="B18" s="236" t="s">
        <v>291</v>
      </c>
      <c r="C18" s="157" t="s">
        <v>27</v>
      </c>
      <c r="D18" s="230"/>
      <c r="E18" s="230"/>
      <c r="F18" s="230"/>
    </row>
    <row r="19" spans="1:9" s="119" customFormat="1" ht="26" x14ac:dyDescent="0.25">
      <c r="A19" s="133" t="s">
        <v>292</v>
      </c>
      <c r="B19" s="236" t="s">
        <v>293</v>
      </c>
      <c r="C19" s="157" t="s">
        <v>27</v>
      </c>
      <c r="D19" s="230"/>
      <c r="E19" s="230"/>
      <c r="F19" s="230"/>
    </row>
    <row r="20" spans="1:9" s="119" customFormat="1" ht="26" x14ac:dyDescent="0.25">
      <c r="A20" s="133" t="s">
        <v>1211</v>
      </c>
      <c r="B20" s="236" t="s">
        <v>294</v>
      </c>
      <c r="C20" s="157" t="s">
        <v>27</v>
      </c>
      <c r="D20" s="230"/>
      <c r="E20" s="230"/>
      <c r="F20" s="230"/>
    </row>
    <row r="21" spans="1:9" s="119" customFormat="1" ht="26" x14ac:dyDescent="0.25">
      <c r="A21" s="133" t="s">
        <v>295</v>
      </c>
      <c r="B21" s="236" t="s">
        <v>294</v>
      </c>
      <c r="C21" s="157" t="s">
        <v>27</v>
      </c>
      <c r="D21" s="230"/>
      <c r="E21" s="230"/>
      <c r="F21" s="230"/>
    </row>
    <row r="22" spans="1:9" s="119" customFormat="1" x14ac:dyDescent="0.25">
      <c r="A22" s="133" t="s">
        <v>297</v>
      </c>
      <c r="B22" s="236" t="s">
        <v>296</v>
      </c>
      <c r="C22" s="157" t="s">
        <v>27</v>
      </c>
      <c r="D22" s="230"/>
      <c r="E22" s="230"/>
      <c r="F22" s="230"/>
    </row>
    <row r="23" spans="1:9" s="119" customFormat="1" ht="26" x14ac:dyDescent="0.25">
      <c r="A23" s="134" t="s">
        <v>299</v>
      </c>
      <c r="B23" s="236" t="s">
        <v>298</v>
      </c>
      <c r="C23" s="157" t="s">
        <v>27</v>
      </c>
      <c r="D23" s="230"/>
      <c r="E23" s="230"/>
      <c r="F23" s="230"/>
    </row>
    <row r="24" spans="1:9" s="119" customFormat="1" ht="26" x14ac:dyDescent="0.25">
      <c r="A24" s="133" t="s">
        <v>302</v>
      </c>
      <c r="B24" s="236" t="s">
        <v>300</v>
      </c>
      <c r="C24" s="137" t="s">
        <v>82</v>
      </c>
      <c r="D24" s="164"/>
      <c r="E24" s="230">
        <f>IF(D24="ja",1,0)</f>
        <v>0</v>
      </c>
      <c r="F24" s="294">
        <f>(Jämförelsesumma!$E$6/Jämförelsesumma!$F$6)*E24</f>
        <v>0</v>
      </c>
      <c r="H24" s="119" t="s">
        <v>301</v>
      </c>
      <c r="I24" s="119" t="s">
        <v>75</v>
      </c>
    </row>
    <row r="25" spans="1:9" s="119" customFormat="1" ht="26" x14ac:dyDescent="0.25">
      <c r="A25" s="134" t="s">
        <v>304</v>
      </c>
      <c r="B25" s="236" t="s">
        <v>303</v>
      </c>
      <c r="C25" s="157" t="s">
        <v>27</v>
      </c>
      <c r="D25" s="230"/>
      <c r="E25" s="230"/>
      <c r="F25" s="230"/>
    </row>
    <row r="26" spans="1:9" s="119" customFormat="1" ht="26" x14ac:dyDescent="0.25">
      <c r="A26" s="133" t="s">
        <v>306</v>
      </c>
      <c r="B26" s="236" t="s">
        <v>305</v>
      </c>
      <c r="C26" s="157" t="s">
        <v>27</v>
      </c>
      <c r="D26" s="230"/>
      <c r="E26" s="230"/>
      <c r="F26" s="230"/>
    </row>
    <row r="27" spans="1:9" s="119" customFormat="1" ht="20.5" customHeight="1" x14ac:dyDescent="0.25">
      <c r="A27" s="134" t="s">
        <v>308</v>
      </c>
      <c r="B27" s="233" t="s">
        <v>307</v>
      </c>
      <c r="C27" s="157" t="s">
        <v>27</v>
      </c>
      <c r="D27" s="230"/>
      <c r="E27" s="230"/>
      <c r="F27" s="230"/>
    </row>
    <row r="28" spans="1:9" s="119" customFormat="1" ht="26" x14ac:dyDescent="0.25">
      <c r="A28" s="133" t="s">
        <v>1175</v>
      </c>
      <c r="B28" s="233" t="s">
        <v>309</v>
      </c>
      <c r="C28" s="157" t="s">
        <v>27</v>
      </c>
      <c r="D28" s="230"/>
      <c r="E28" s="230"/>
      <c r="F28" s="230"/>
    </row>
    <row r="29" spans="1:9" s="119" customFormat="1" ht="26" x14ac:dyDescent="0.25">
      <c r="A29" s="134" t="s">
        <v>1176</v>
      </c>
      <c r="B29" s="233" t="s">
        <v>311</v>
      </c>
      <c r="C29" s="157" t="s">
        <v>27</v>
      </c>
      <c r="D29" s="230"/>
      <c r="E29" s="230"/>
      <c r="F29" s="230"/>
    </row>
    <row r="30" spans="1:9" s="119" customFormat="1" ht="26" x14ac:dyDescent="0.25">
      <c r="A30" s="133" t="s">
        <v>310</v>
      </c>
      <c r="B30" s="233" t="s">
        <v>313</v>
      </c>
      <c r="C30" s="157" t="s">
        <v>27</v>
      </c>
      <c r="D30" s="230"/>
      <c r="E30" s="230"/>
      <c r="F30" s="230"/>
    </row>
    <row r="31" spans="1:9" s="119" customFormat="1" ht="20.149999999999999" customHeight="1" x14ac:dyDescent="0.25">
      <c r="A31" s="134" t="s">
        <v>312</v>
      </c>
      <c r="B31" s="311" t="s">
        <v>315</v>
      </c>
      <c r="C31" s="157" t="s">
        <v>27</v>
      </c>
      <c r="D31" s="230"/>
      <c r="E31" s="230"/>
      <c r="F31" s="230"/>
      <c r="G31" s="245"/>
    </row>
    <row r="32" spans="1:9" s="119" customFormat="1" ht="26" x14ac:dyDescent="0.25">
      <c r="A32" s="133" t="s">
        <v>314</v>
      </c>
      <c r="B32" s="233" t="s">
        <v>317</v>
      </c>
      <c r="C32" s="157" t="s">
        <v>27</v>
      </c>
      <c r="D32" s="230"/>
      <c r="E32" s="230"/>
      <c r="F32" s="230"/>
    </row>
    <row r="33" spans="1:7" s="119" customFormat="1" ht="34.5" customHeight="1" x14ac:dyDescent="0.25">
      <c r="A33" s="134" t="s">
        <v>316</v>
      </c>
      <c r="B33" s="233" t="s">
        <v>319</v>
      </c>
      <c r="C33" s="157" t="s">
        <v>27</v>
      </c>
      <c r="D33" s="230"/>
      <c r="E33" s="230"/>
      <c r="F33" s="230"/>
    </row>
    <row r="34" spans="1:7" s="119" customFormat="1" ht="26" x14ac:dyDescent="0.25">
      <c r="A34" s="133" t="s">
        <v>318</v>
      </c>
      <c r="B34" s="233" t="s">
        <v>321</v>
      </c>
      <c r="C34" s="157" t="s">
        <v>27</v>
      </c>
      <c r="D34" s="230"/>
      <c r="E34" s="230"/>
      <c r="F34" s="230"/>
    </row>
    <row r="35" spans="1:7" s="119" customFormat="1" x14ac:dyDescent="0.25">
      <c r="A35" s="133" t="s">
        <v>320</v>
      </c>
      <c r="B35" s="233" t="s">
        <v>323</v>
      </c>
      <c r="C35" s="157" t="s">
        <v>27</v>
      </c>
      <c r="D35" s="230"/>
      <c r="E35" s="230"/>
      <c r="F35" s="230"/>
    </row>
    <row r="36" spans="1:7" s="119" customFormat="1" ht="20.149999999999999" customHeight="1" x14ac:dyDescent="0.25">
      <c r="A36" s="133" t="s">
        <v>322</v>
      </c>
      <c r="B36" s="233" t="s">
        <v>325</v>
      </c>
      <c r="C36" s="157" t="s">
        <v>27</v>
      </c>
      <c r="D36" s="230"/>
      <c r="E36" s="230"/>
      <c r="F36" s="230"/>
    </row>
    <row r="37" spans="1:7" s="119" customFormat="1" ht="20.149999999999999" customHeight="1" x14ac:dyDescent="0.25">
      <c r="A37" s="134" t="s">
        <v>324</v>
      </c>
      <c r="B37" s="233" t="s">
        <v>327</v>
      </c>
      <c r="C37" s="157" t="s">
        <v>27</v>
      </c>
      <c r="D37" s="230"/>
      <c r="E37" s="230"/>
      <c r="F37" s="230"/>
    </row>
    <row r="38" spans="1:7" s="119" customFormat="1" ht="26" x14ac:dyDescent="0.25">
      <c r="A38" s="133" t="s">
        <v>326</v>
      </c>
      <c r="B38" s="233" t="s">
        <v>329</v>
      </c>
      <c r="C38" s="157" t="s">
        <v>27</v>
      </c>
      <c r="D38" s="230"/>
      <c r="E38" s="230"/>
      <c r="F38" s="230"/>
    </row>
    <row r="39" spans="1:7" s="119" customFormat="1" ht="26" x14ac:dyDescent="0.25">
      <c r="A39" s="134" t="s">
        <v>328</v>
      </c>
      <c r="B39" s="233" t="s">
        <v>331</v>
      </c>
      <c r="C39" s="157" t="s">
        <v>27</v>
      </c>
      <c r="D39" s="230"/>
      <c r="E39" s="230"/>
      <c r="F39" s="230"/>
    </row>
    <row r="40" spans="1:7" s="119" customFormat="1" ht="20.25" customHeight="1" x14ac:dyDescent="0.25">
      <c r="A40" s="133" t="s">
        <v>330</v>
      </c>
      <c r="B40" s="233" t="s">
        <v>333</v>
      </c>
      <c r="C40" s="137" t="s">
        <v>334</v>
      </c>
      <c r="D40" s="164"/>
      <c r="E40" s="230">
        <f>IF(D40="ja",1,0)</f>
        <v>0</v>
      </c>
      <c r="F40" s="294">
        <f>(Jämförelsesumma!$E$6/Jämförelsesumma!$F$6)*E40</f>
        <v>0</v>
      </c>
      <c r="G40" s="298"/>
    </row>
    <row r="41" spans="1:7" s="119" customFormat="1" ht="17.5" customHeight="1" x14ac:dyDescent="0.25">
      <c r="A41" s="134" t="s">
        <v>1177</v>
      </c>
      <c r="B41" s="233" t="s">
        <v>336</v>
      </c>
      <c r="C41" s="137" t="s">
        <v>334</v>
      </c>
      <c r="D41" s="164"/>
      <c r="E41" s="230">
        <f t="shared" ref="E41" si="0">IF(D41="ja",2,0)</f>
        <v>0</v>
      </c>
      <c r="F41" s="294">
        <f>(Jämförelsesumma!$E$6/Jämförelsesumma!$F$6)*E41</f>
        <v>0</v>
      </c>
    </row>
    <row r="42" spans="1:7" s="119" customFormat="1" ht="17.149999999999999" customHeight="1" x14ac:dyDescent="0.25">
      <c r="A42" s="133" t="s">
        <v>332</v>
      </c>
      <c r="B42" s="233" t="s">
        <v>338</v>
      </c>
      <c r="C42" s="157" t="s">
        <v>27</v>
      </c>
      <c r="D42" s="230"/>
      <c r="E42" s="230"/>
      <c r="F42" s="230"/>
    </row>
    <row r="43" spans="1:7" s="119" customFormat="1" ht="23.5" customHeight="1" x14ac:dyDescent="0.25">
      <c r="A43" s="134" t="s">
        <v>335</v>
      </c>
      <c r="B43" s="233" t="s">
        <v>340</v>
      </c>
      <c r="C43" s="157" t="s">
        <v>27</v>
      </c>
      <c r="D43" s="230"/>
      <c r="E43" s="230"/>
      <c r="F43" s="230"/>
    </row>
    <row r="44" spans="1:7" s="119" customFormat="1" ht="21.65" customHeight="1" x14ac:dyDescent="0.25">
      <c r="A44" s="133" t="s">
        <v>337</v>
      </c>
      <c r="B44" s="233" t="s">
        <v>342</v>
      </c>
      <c r="C44" s="157" t="s">
        <v>27</v>
      </c>
      <c r="D44" s="230"/>
      <c r="E44" s="230"/>
      <c r="F44" s="230"/>
    </row>
    <row r="45" spans="1:7" s="119" customFormat="1" ht="46" customHeight="1" x14ac:dyDescent="0.25">
      <c r="A45" s="134" t="s">
        <v>339</v>
      </c>
      <c r="B45" s="233" t="s">
        <v>344</v>
      </c>
      <c r="C45" s="157" t="s">
        <v>27</v>
      </c>
      <c r="D45" s="230"/>
      <c r="E45" s="230"/>
      <c r="F45" s="230"/>
    </row>
    <row r="46" spans="1:7" s="119" customFormat="1" ht="46" customHeight="1" x14ac:dyDescent="0.25">
      <c r="A46" s="133" t="s">
        <v>341</v>
      </c>
      <c r="B46" s="233" t="s">
        <v>346</v>
      </c>
      <c r="C46" s="157" t="s">
        <v>27</v>
      </c>
      <c r="D46" s="230"/>
      <c r="E46" s="230"/>
      <c r="F46" s="230"/>
    </row>
    <row r="47" spans="1:7" s="119" customFormat="1" ht="36" customHeight="1" x14ac:dyDescent="0.25">
      <c r="A47" s="134" t="s">
        <v>343</v>
      </c>
      <c r="B47" s="233" t="s">
        <v>348</v>
      </c>
      <c r="C47" s="137" t="s">
        <v>82</v>
      </c>
      <c r="D47" s="164"/>
      <c r="E47" s="230">
        <f>IF(D47="ja",2,0)</f>
        <v>0</v>
      </c>
      <c r="F47" s="294">
        <f>(Jämförelsesumma!$E$6/Jämförelsesumma!$F$6)*E47</f>
        <v>0</v>
      </c>
    </row>
    <row r="48" spans="1:7" s="119" customFormat="1" ht="31" customHeight="1" x14ac:dyDescent="0.25">
      <c r="A48" s="133" t="s">
        <v>345</v>
      </c>
      <c r="B48" s="307" t="s">
        <v>1208</v>
      </c>
      <c r="C48" s="137" t="s">
        <v>27</v>
      </c>
      <c r="D48" s="230"/>
      <c r="E48" s="230">
        <f>IF(D48="ja",5,0)</f>
        <v>0</v>
      </c>
      <c r="F48" s="294">
        <f>(Jämförelsesumma!$E$6/Jämförelsesumma!$F$6)*E48</f>
        <v>0</v>
      </c>
      <c r="G48" s="308"/>
    </row>
    <row r="49" spans="1:10" s="119" customFormat="1" ht="36" customHeight="1" x14ac:dyDescent="0.25">
      <c r="A49" s="134" t="s">
        <v>347</v>
      </c>
      <c r="B49" s="233" t="s">
        <v>349</v>
      </c>
      <c r="C49" s="137" t="s">
        <v>334</v>
      </c>
      <c r="D49" s="164"/>
      <c r="E49" s="230">
        <f>IF(D49=H49,1,(IF(D49=I49,3,0)))</f>
        <v>0</v>
      </c>
      <c r="F49" s="294">
        <f>(Jämförelsesumma!$E$6/Jämförelsesumma!$F$6)*E49</f>
        <v>0</v>
      </c>
      <c r="G49" s="119" t="s">
        <v>350</v>
      </c>
      <c r="H49" s="119" t="s">
        <v>1178</v>
      </c>
      <c r="I49" s="119" t="s">
        <v>1179</v>
      </c>
      <c r="J49" s="119" t="s">
        <v>19</v>
      </c>
    </row>
    <row r="50" spans="1:10" s="119" customFormat="1" ht="36" customHeight="1" x14ac:dyDescent="0.25">
      <c r="A50" s="354" t="s">
        <v>1209</v>
      </c>
      <c r="B50" s="316" t="s">
        <v>1210</v>
      </c>
      <c r="C50" s="137" t="s">
        <v>27</v>
      </c>
      <c r="D50" s="230"/>
      <c r="E50" s="342"/>
      <c r="F50" s="306"/>
    </row>
    <row r="51" spans="1:10" s="100" customFormat="1" ht="14.5" x14ac:dyDescent="0.25">
      <c r="A51" s="213" t="s">
        <v>351</v>
      </c>
      <c r="B51" s="213" t="s">
        <v>352</v>
      </c>
      <c r="C51" s="214"/>
      <c r="D51" s="214"/>
      <c r="E51" s="214"/>
      <c r="F51" s="214"/>
    </row>
    <row r="52" spans="1:10" s="119" customFormat="1" ht="33.65" customHeight="1" x14ac:dyDescent="0.25">
      <c r="A52" s="134" t="s">
        <v>353</v>
      </c>
      <c r="B52" s="233" t="s">
        <v>354</v>
      </c>
      <c r="C52" s="157" t="s">
        <v>27</v>
      </c>
      <c r="D52" s="230"/>
      <c r="E52" s="230"/>
      <c r="F52" s="230"/>
    </row>
    <row r="53" spans="1:10" s="119" customFormat="1" ht="26" x14ac:dyDescent="0.25">
      <c r="A53" s="134" t="s">
        <v>355</v>
      </c>
      <c r="B53" s="233" t="s">
        <v>356</v>
      </c>
      <c r="C53" s="157" t="s">
        <v>27</v>
      </c>
      <c r="D53" s="230"/>
      <c r="E53" s="230"/>
      <c r="F53" s="230"/>
    </row>
    <row r="54" spans="1:10" s="119" customFormat="1" ht="26" x14ac:dyDescent="0.25">
      <c r="A54" s="134" t="s">
        <v>357</v>
      </c>
      <c r="B54" s="233" t="s">
        <v>358</v>
      </c>
      <c r="C54" s="157" t="s">
        <v>27</v>
      </c>
      <c r="D54" s="230"/>
      <c r="E54" s="230"/>
      <c r="F54" s="230"/>
    </row>
    <row r="55" spans="1:10" s="119" customFormat="1" ht="35.15" customHeight="1" x14ac:dyDescent="0.25">
      <c r="A55" s="134" t="s">
        <v>359</v>
      </c>
      <c r="B55" s="233" t="s">
        <v>360</v>
      </c>
      <c r="C55" s="157" t="s">
        <v>27</v>
      </c>
      <c r="D55" s="230"/>
      <c r="E55" s="230"/>
      <c r="F55" s="230"/>
    </row>
    <row r="56" spans="1:10" s="119" customFormat="1" ht="35.15" customHeight="1" x14ac:dyDescent="0.25">
      <c r="A56" s="134" t="s">
        <v>361</v>
      </c>
      <c r="B56" s="233" t="s">
        <v>362</v>
      </c>
      <c r="C56" s="137" t="s">
        <v>82</v>
      </c>
      <c r="D56" s="164"/>
      <c r="E56" s="230">
        <f>IF(D56="ja",3,0)</f>
        <v>0</v>
      </c>
      <c r="F56" s="294">
        <f>(Jämförelsesumma!$E$6/Jämförelsesumma!$F$6)*E56</f>
        <v>0</v>
      </c>
    </row>
    <row r="57" spans="1:10" s="119" customFormat="1" ht="20.5" customHeight="1" x14ac:dyDescent="0.25">
      <c r="A57" s="134" t="s">
        <v>363</v>
      </c>
      <c r="B57" s="233" t="s">
        <v>364</v>
      </c>
      <c r="C57" s="157" t="s">
        <v>27</v>
      </c>
      <c r="D57" s="230"/>
      <c r="E57" s="230"/>
      <c r="F57" s="230"/>
    </row>
    <row r="58" spans="1:10" s="119" customFormat="1" ht="19" customHeight="1" x14ac:dyDescent="0.25">
      <c r="A58" s="134" t="s">
        <v>365</v>
      </c>
      <c r="B58" s="233" t="s">
        <v>366</v>
      </c>
      <c r="C58" s="157" t="s">
        <v>27</v>
      </c>
      <c r="D58" s="230"/>
      <c r="E58" s="230"/>
      <c r="F58" s="230"/>
    </row>
    <row r="59" spans="1:10" s="119" customFormat="1" ht="20.149999999999999" customHeight="1" x14ac:dyDescent="0.25">
      <c r="A59" s="134" t="s">
        <v>367</v>
      </c>
      <c r="B59" s="233" t="s">
        <v>368</v>
      </c>
      <c r="C59" s="157" t="s">
        <v>27</v>
      </c>
      <c r="D59" s="230"/>
      <c r="E59" s="230"/>
      <c r="F59" s="230"/>
    </row>
    <row r="60" spans="1:10" s="119" customFormat="1" ht="26" x14ac:dyDescent="0.25">
      <c r="A60" s="134" t="s">
        <v>369</v>
      </c>
      <c r="B60" s="233" t="s">
        <v>370</v>
      </c>
      <c r="C60" s="157" t="s">
        <v>27</v>
      </c>
      <c r="D60" s="230"/>
      <c r="E60" s="230"/>
      <c r="F60" s="230"/>
    </row>
    <row r="61" spans="1:10" s="119" customFormat="1" ht="33.65" customHeight="1" x14ac:dyDescent="0.25">
      <c r="A61" s="134" t="s">
        <v>371</v>
      </c>
      <c r="B61" s="233" t="s">
        <v>372</v>
      </c>
      <c r="C61" s="157" t="s">
        <v>27</v>
      </c>
      <c r="D61" s="230"/>
      <c r="E61" s="230"/>
      <c r="F61" s="230"/>
    </row>
    <row r="62" spans="1:10" s="119" customFormat="1" ht="33.65" customHeight="1" x14ac:dyDescent="0.25">
      <c r="A62" s="134" t="s">
        <v>373</v>
      </c>
      <c r="B62" s="233" t="s">
        <v>374</v>
      </c>
      <c r="C62" s="157" t="s">
        <v>27</v>
      </c>
      <c r="D62" s="230"/>
      <c r="E62" s="230"/>
      <c r="F62" s="230"/>
    </row>
    <row r="63" spans="1:10" s="119" customFormat="1" ht="30.65" customHeight="1" x14ac:dyDescent="0.25">
      <c r="A63" s="134" t="s">
        <v>375</v>
      </c>
      <c r="B63" s="233" t="s">
        <v>376</v>
      </c>
      <c r="C63" s="157" t="s">
        <v>27</v>
      </c>
      <c r="D63" s="230"/>
      <c r="E63" s="230"/>
      <c r="F63" s="230"/>
    </row>
    <row r="64" spans="1:10" s="119" customFormat="1" ht="33.65" customHeight="1" x14ac:dyDescent="0.25">
      <c r="A64" s="134" t="s">
        <v>377</v>
      </c>
      <c r="B64" s="233" t="s">
        <v>378</v>
      </c>
      <c r="C64" s="157" t="s">
        <v>27</v>
      </c>
      <c r="D64" s="230"/>
      <c r="E64" s="230"/>
      <c r="F64" s="230"/>
      <c r="G64" s="119" t="s">
        <v>26</v>
      </c>
    </row>
    <row r="65" spans="1:7" s="119" customFormat="1" ht="32.15" customHeight="1" x14ac:dyDescent="0.25">
      <c r="A65" s="134" t="s">
        <v>379</v>
      </c>
      <c r="B65" s="233" t="s">
        <v>380</v>
      </c>
      <c r="C65" s="157" t="s">
        <v>27</v>
      </c>
      <c r="D65" s="230"/>
      <c r="E65" s="230"/>
      <c r="F65" s="230"/>
    </row>
    <row r="66" spans="1:7" s="119" customFormat="1" ht="20.5" customHeight="1" x14ac:dyDescent="0.25">
      <c r="A66" s="134" t="s">
        <v>381</v>
      </c>
      <c r="B66" s="233" t="s">
        <v>382</v>
      </c>
      <c r="C66" s="157" t="s">
        <v>27</v>
      </c>
      <c r="D66" s="230"/>
      <c r="E66" s="230"/>
      <c r="F66" s="230"/>
    </row>
    <row r="67" spans="1:7" s="119" customFormat="1" ht="34.5" customHeight="1" x14ac:dyDescent="0.25">
      <c r="A67" s="134" t="s">
        <v>383</v>
      </c>
      <c r="B67" s="233" t="s">
        <v>384</v>
      </c>
      <c r="C67" s="157" t="s">
        <v>27</v>
      </c>
      <c r="D67" s="230"/>
      <c r="E67" s="230"/>
      <c r="F67" s="230"/>
    </row>
    <row r="68" spans="1:7" s="119" customFormat="1" ht="36" customHeight="1" x14ac:dyDescent="0.25">
      <c r="A68" s="134" t="s">
        <v>385</v>
      </c>
      <c r="B68" s="233" t="s">
        <v>386</v>
      </c>
      <c r="C68" s="157" t="s">
        <v>27</v>
      </c>
      <c r="D68" s="230"/>
      <c r="E68" s="230"/>
      <c r="F68" s="230"/>
    </row>
    <row r="69" spans="1:7" s="119" customFormat="1" ht="35.15" customHeight="1" x14ac:dyDescent="0.25">
      <c r="A69" s="134" t="s">
        <v>387</v>
      </c>
      <c r="B69" s="233" t="s">
        <v>388</v>
      </c>
      <c r="C69" s="157" t="s">
        <v>27</v>
      </c>
      <c r="D69" s="230"/>
      <c r="E69" s="230"/>
      <c r="F69" s="230"/>
      <c r="G69" s="245"/>
    </row>
    <row r="70" spans="1:7" s="119" customFormat="1" ht="34.5" customHeight="1" x14ac:dyDescent="0.25">
      <c r="A70" s="134" t="s">
        <v>389</v>
      </c>
      <c r="B70" s="233" t="s">
        <v>390</v>
      </c>
      <c r="C70" s="157" t="s">
        <v>27</v>
      </c>
      <c r="D70" s="230"/>
      <c r="E70" s="230"/>
      <c r="F70" s="230"/>
    </row>
    <row r="71" spans="1:7" s="119" customFormat="1" ht="26" x14ac:dyDescent="0.25">
      <c r="A71" s="134" t="s">
        <v>391</v>
      </c>
      <c r="B71" s="233" t="s">
        <v>392</v>
      </c>
      <c r="C71" s="157" t="s">
        <v>27</v>
      </c>
      <c r="D71" s="230"/>
      <c r="E71" s="230"/>
      <c r="F71" s="230"/>
    </row>
    <row r="72" spans="1:7" s="119" customFormat="1" x14ac:dyDescent="0.25">
      <c r="A72" s="134" t="s">
        <v>1206</v>
      </c>
      <c r="B72" s="233" t="s">
        <v>1204</v>
      </c>
      <c r="C72" s="157" t="s">
        <v>27</v>
      </c>
      <c r="D72" s="230"/>
      <c r="E72" s="230"/>
      <c r="F72" s="230"/>
    </row>
    <row r="73" spans="1:7" s="119" customFormat="1" ht="26" x14ac:dyDescent="0.25">
      <c r="A73" s="134" t="s">
        <v>1207</v>
      </c>
      <c r="B73" s="233" t="s">
        <v>1205</v>
      </c>
      <c r="C73" s="157" t="s">
        <v>6</v>
      </c>
      <c r="D73" s="164"/>
      <c r="E73" s="230">
        <f>IF(D73="ja",3,0)</f>
        <v>0</v>
      </c>
      <c r="F73" s="294">
        <f>(Jämförelsesumma!$E$6/Jämförelsesumma!$F$6)*E73</f>
        <v>0</v>
      </c>
    </row>
    <row r="74" spans="1:7" s="100" customFormat="1" ht="14.5" x14ac:dyDescent="0.25">
      <c r="A74" s="213" t="s">
        <v>393</v>
      </c>
      <c r="B74" s="213" t="s">
        <v>394</v>
      </c>
      <c r="C74" s="214"/>
      <c r="D74" s="213"/>
      <c r="E74" s="213"/>
      <c r="F74" s="213"/>
    </row>
    <row r="75" spans="1:7" s="119" customFormat="1" ht="17.149999999999999" customHeight="1" x14ac:dyDescent="0.25">
      <c r="A75" s="134" t="s">
        <v>395</v>
      </c>
      <c r="B75" s="239" t="s">
        <v>396</v>
      </c>
      <c r="C75" s="157" t="s">
        <v>27</v>
      </c>
      <c r="D75" s="230"/>
      <c r="E75" s="230"/>
      <c r="F75" s="230"/>
    </row>
    <row r="76" spans="1:7" s="119" customFormat="1" ht="22" customHeight="1" x14ac:dyDescent="0.25">
      <c r="A76" s="133" t="s">
        <v>397</v>
      </c>
      <c r="B76" s="233" t="s">
        <v>398</v>
      </c>
      <c r="C76" s="157" t="s">
        <v>27</v>
      </c>
      <c r="D76" s="230"/>
      <c r="E76" s="230"/>
      <c r="F76" s="230"/>
    </row>
    <row r="77" spans="1:7" s="119" customFormat="1" ht="26" x14ac:dyDescent="0.25">
      <c r="A77" s="134" t="s">
        <v>399</v>
      </c>
      <c r="B77" s="233" t="s">
        <v>400</v>
      </c>
      <c r="C77" s="157" t="s">
        <v>27</v>
      </c>
      <c r="D77" s="230"/>
      <c r="E77" s="230"/>
      <c r="F77" s="230"/>
    </row>
    <row r="78" spans="1:7" s="119" customFormat="1" ht="33" customHeight="1" x14ac:dyDescent="0.25">
      <c r="A78" s="133" t="s">
        <v>401</v>
      </c>
      <c r="B78" s="233" t="s">
        <v>402</v>
      </c>
      <c r="C78" s="157" t="s">
        <v>27</v>
      </c>
      <c r="D78" s="230"/>
      <c r="E78" s="230"/>
      <c r="F78" s="230"/>
    </row>
    <row r="79" spans="1:7" s="119" customFormat="1" ht="33" customHeight="1" x14ac:dyDescent="0.25">
      <c r="A79" s="134" t="s">
        <v>403</v>
      </c>
      <c r="B79" s="233" t="s">
        <v>404</v>
      </c>
      <c r="C79" s="157" t="s">
        <v>27</v>
      </c>
      <c r="D79" s="230"/>
      <c r="E79" s="230"/>
      <c r="F79" s="230"/>
    </row>
    <row r="80" spans="1:7" s="119" customFormat="1" ht="19" customHeight="1" x14ac:dyDescent="0.25">
      <c r="A80" s="133" t="s">
        <v>405</v>
      </c>
      <c r="B80" s="233" t="s">
        <v>406</v>
      </c>
      <c r="C80" s="157" t="s">
        <v>27</v>
      </c>
      <c r="D80" s="230"/>
      <c r="E80" s="230"/>
      <c r="F80" s="230"/>
    </row>
    <row r="81" spans="1:7" s="119" customFormat="1" ht="46.5" customHeight="1" x14ac:dyDescent="0.25">
      <c r="A81" s="134" t="s">
        <v>407</v>
      </c>
      <c r="B81" s="233" t="s">
        <v>408</v>
      </c>
      <c r="C81" s="157" t="s">
        <v>27</v>
      </c>
      <c r="D81" s="230"/>
      <c r="E81" s="230"/>
      <c r="F81" s="230"/>
    </row>
    <row r="82" spans="1:7" s="119" customFormat="1" ht="26" x14ac:dyDescent="0.25">
      <c r="A82" s="134" t="s">
        <v>409</v>
      </c>
      <c r="B82" s="233" t="s">
        <v>410</v>
      </c>
      <c r="C82" s="157" t="s">
        <v>27</v>
      </c>
      <c r="D82" s="230"/>
      <c r="E82" s="230"/>
      <c r="F82" s="230"/>
    </row>
    <row r="83" spans="1:7" s="119" customFormat="1" ht="17.5" customHeight="1" x14ac:dyDescent="0.25">
      <c r="A83" s="134" t="s">
        <v>411</v>
      </c>
      <c r="B83" s="233" t="s">
        <v>412</v>
      </c>
      <c r="C83" s="157" t="s">
        <v>27</v>
      </c>
      <c r="D83" s="230"/>
      <c r="E83" s="230"/>
      <c r="F83" s="230"/>
    </row>
    <row r="84" spans="1:7" s="119" customFormat="1" ht="17.5" customHeight="1" x14ac:dyDescent="0.25">
      <c r="A84" s="133" t="s">
        <v>413</v>
      </c>
      <c r="B84" s="233" t="s">
        <v>414</v>
      </c>
      <c r="C84" s="157" t="s">
        <v>27</v>
      </c>
      <c r="D84" s="230"/>
      <c r="E84" s="230"/>
      <c r="F84" s="230"/>
    </row>
    <row r="85" spans="1:7" s="119" customFormat="1" ht="26" x14ac:dyDescent="0.25">
      <c r="A85" s="134" t="s">
        <v>415</v>
      </c>
      <c r="B85" s="233" t="s">
        <v>416</v>
      </c>
      <c r="C85" s="157" t="s">
        <v>27</v>
      </c>
      <c r="D85" s="230"/>
      <c r="E85" s="230"/>
      <c r="F85" s="230"/>
    </row>
    <row r="86" spans="1:7" s="119" customFormat="1" ht="20.5" customHeight="1" x14ac:dyDescent="0.25">
      <c r="A86" s="133" t="s">
        <v>417</v>
      </c>
      <c r="B86" s="233" t="s">
        <v>418</v>
      </c>
      <c r="C86" s="157" t="s">
        <v>27</v>
      </c>
      <c r="D86" s="230"/>
      <c r="E86" s="230"/>
      <c r="F86" s="230"/>
    </row>
    <row r="87" spans="1:7" s="119" customFormat="1" ht="23.15" customHeight="1" x14ac:dyDescent="0.25">
      <c r="A87" s="134" t="s">
        <v>419</v>
      </c>
      <c r="B87" s="233" t="s">
        <v>420</v>
      </c>
      <c r="C87" s="157" t="s">
        <v>27</v>
      </c>
      <c r="D87" s="230"/>
      <c r="E87" s="230"/>
      <c r="F87" s="230"/>
    </row>
    <row r="88" spans="1:7" s="119" customFormat="1" ht="19" customHeight="1" x14ac:dyDescent="0.25">
      <c r="A88" s="133" t="s">
        <v>421</v>
      </c>
      <c r="B88" s="237" t="s">
        <v>422</v>
      </c>
      <c r="C88" s="157" t="s">
        <v>27</v>
      </c>
      <c r="D88" s="230"/>
      <c r="E88" s="230"/>
      <c r="F88" s="230"/>
    </row>
    <row r="89" spans="1:7" s="119" customFormat="1" ht="19" customHeight="1" x14ac:dyDescent="0.25">
      <c r="A89" s="134" t="s">
        <v>423</v>
      </c>
      <c r="B89" s="237" t="s">
        <v>424</v>
      </c>
      <c r="C89" s="157" t="s">
        <v>27</v>
      </c>
      <c r="D89" s="230"/>
      <c r="E89" s="230"/>
      <c r="F89" s="230"/>
    </row>
    <row r="90" spans="1:7" s="119" customFormat="1" ht="39" x14ac:dyDescent="0.25">
      <c r="A90" s="133" t="s">
        <v>425</v>
      </c>
      <c r="B90" s="315" t="s">
        <v>426</v>
      </c>
      <c r="C90" s="157" t="s">
        <v>27</v>
      </c>
      <c r="D90" s="230"/>
      <c r="E90" s="230"/>
      <c r="F90" s="230"/>
      <c r="G90" s="308"/>
    </row>
    <row r="91" spans="1:7" s="119" customFormat="1" ht="23.15" customHeight="1" x14ac:dyDescent="0.25">
      <c r="A91" s="134" t="s">
        <v>427</v>
      </c>
      <c r="B91" s="237" t="s">
        <v>428</v>
      </c>
      <c r="C91" s="157" t="s">
        <v>27</v>
      </c>
      <c r="D91" s="230"/>
      <c r="E91" s="230"/>
      <c r="F91" s="230"/>
    </row>
    <row r="92" spans="1:7" s="119" customFormat="1" ht="52.5" customHeight="1" x14ac:dyDescent="0.25">
      <c r="A92" s="133" t="s">
        <v>429</v>
      </c>
      <c r="B92" s="237" t="s">
        <v>430</v>
      </c>
      <c r="C92" s="157" t="s">
        <v>27</v>
      </c>
      <c r="D92" s="230"/>
      <c r="E92" s="230"/>
      <c r="F92" s="230"/>
    </row>
    <row r="93" spans="1:7" s="119" customFormat="1" ht="22" customHeight="1" x14ac:dyDescent="0.25">
      <c r="A93" s="134" t="s">
        <v>431</v>
      </c>
      <c r="B93" s="237" t="s">
        <v>432</v>
      </c>
      <c r="C93" s="157" t="s">
        <v>27</v>
      </c>
      <c r="D93" s="230"/>
      <c r="E93" s="230"/>
      <c r="F93" s="230"/>
    </row>
    <row r="94" spans="1:7" s="119" customFormat="1" ht="39" x14ac:dyDescent="0.25">
      <c r="A94" s="133" t="s">
        <v>433</v>
      </c>
      <c r="B94" s="237" t="s">
        <v>434</v>
      </c>
      <c r="C94" s="157" t="s">
        <v>27</v>
      </c>
      <c r="D94" s="230"/>
      <c r="E94" s="230"/>
      <c r="F94" s="230"/>
      <c r="G94" s="308"/>
    </row>
    <row r="95" spans="1:7" s="314" customFormat="1" ht="26" x14ac:dyDescent="0.25">
      <c r="A95" s="312" t="s">
        <v>435</v>
      </c>
      <c r="B95" s="315" t="s">
        <v>436</v>
      </c>
      <c r="C95" s="157" t="s">
        <v>27</v>
      </c>
      <c r="D95" s="313"/>
      <c r="E95" s="313"/>
      <c r="F95" s="313"/>
      <c r="G95" s="308"/>
    </row>
    <row r="96" spans="1:7" s="119" customFormat="1" ht="32.15" customHeight="1" x14ac:dyDescent="0.25">
      <c r="A96" s="133" t="s">
        <v>437</v>
      </c>
      <c r="B96" s="233" t="s">
        <v>438</v>
      </c>
      <c r="C96" s="157" t="s">
        <v>27</v>
      </c>
      <c r="D96" s="230"/>
      <c r="E96" s="230"/>
      <c r="F96" s="230"/>
    </row>
    <row r="97" spans="1:7" s="119" customFormat="1" ht="30.65" customHeight="1" x14ac:dyDescent="0.25">
      <c r="A97" s="134" t="s">
        <v>439</v>
      </c>
      <c r="B97" s="233" t="s">
        <v>440</v>
      </c>
      <c r="C97" s="157" t="s">
        <v>27</v>
      </c>
      <c r="D97" s="230"/>
      <c r="E97" s="230"/>
      <c r="F97" s="230"/>
    </row>
    <row r="98" spans="1:7" s="119" customFormat="1" ht="31.5" customHeight="1" x14ac:dyDescent="0.25">
      <c r="A98" s="133" t="s">
        <v>441</v>
      </c>
      <c r="B98" s="233" t="s">
        <v>442</v>
      </c>
      <c r="C98" s="157" t="s">
        <v>27</v>
      </c>
      <c r="D98" s="230"/>
      <c r="E98" s="230"/>
      <c r="F98" s="230"/>
    </row>
    <row r="99" spans="1:7" s="100" customFormat="1" ht="14.5" x14ac:dyDescent="0.25">
      <c r="A99" s="213" t="s">
        <v>443</v>
      </c>
      <c r="B99" s="213" t="s">
        <v>110</v>
      </c>
      <c r="C99" s="214"/>
      <c r="D99" s="214"/>
      <c r="E99" s="214"/>
      <c r="F99" s="214"/>
    </row>
    <row r="100" spans="1:7" s="119" customFormat="1" ht="26" x14ac:dyDescent="0.25">
      <c r="A100" s="134" t="s">
        <v>444</v>
      </c>
      <c r="B100" s="237" t="s">
        <v>445</v>
      </c>
      <c r="C100" s="157" t="s">
        <v>27</v>
      </c>
      <c r="D100" s="230"/>
      <c r="E100" s="230"/>
      <c r="F100" s="230"/>
      <c r="G100" s="245"/>
    </row>
    <row r="101" spans="1:7" s="119" customFormat="1" ht="20.149999999999999" customHeight="1" x14ac:dyDescent="0.25">
      <c r="A101" s="133" t="s">
        <v>446</v>
      </c>
      <c r="B101" s="237" t="s">
        <v>447</v>
      </c>
      <c r="C101" s="157" t="s">
        <v>27</v>
      </c>
      <c r="D101" s="230"/>
      <c r="E101" s="230"/>
      <c r="F101" s="230"/>
    </row>
    <row r="102" spans="1:7" s="119" customFormat="1" ht="48" customHeight="1" x14ac:dyDescent="0.25">
      <c r="A102" s="134" t="s">
        <v>448</v>
      </c>
      <c r="B102" s="237" t="s">
        <v>449</v>
      </c>
      <c r="C102" s="157" t="s">
        <v>27</v>
      </c>
      <c r="D102" s="230"/>
      <c r="E102" s="230"/>
      <c r="F102" s="230"/>
    </row>
    <row r="103" spans="1:7" s="119" customFormat="1" ht="37.5" customHeight="1" x14ac:dyDescent="0.25">
      <c r="A103" s="134" t="s">
        <v>450</v>
      </c>
      <c r="B103" s="237" t="s">
        <v>451</v>
      </c>
      <c r="C103" s="157" t="s">
        <v>27</v>
      </c>
      <c r="D103" s="230"/>
      <c r="E103" s="230"/>
      <c r="F103" s="230"/>
    </row>
    <row r="104" spans="1:7" s="119" customFormat="1" ht="33.65" customHeight="1" x14ac:dyDescent="0.25">
      <c r="A104" s="133" t="s">
        <v>452</v>
      </c>
      <c r="B104" s="237" t="s">
        <v>453</v>
      </c>
      <c r="C104" s="157" t="s">
        <v>27</v>
      </c>
      <c r="D104" s="230"/>
      <c r="E104" s="230"/>
      <c r="F104" s="230"/>
    </row>
    <row r="105" spans="1:7" s="118" customFormat="1" ht="20.5" customHeight="1" x14ac:dyDescent="0.3">
      <c r="A105" s="134" t="s">
        <v>454</v>
      </c>
      <c r="B105" s="237" t="s">
        <v>455</v>
      </c>
      <c r="C105" s="157" t="s">
        <v>27</v>
      </c>
      <c r="D105" s="230"/>
      <c r="E105" s="230"/>
      <c r="F105" s="230"/>
    </row>
    <row r="106" spans="1:7" s="118" customFormat="1" ht="24.65" customHeight="1" x14ac:dyDescent="0.3">
      <c r="A106" s="133" t="s">
        <v>456</v>
      </c>
      <c r="B106" s="237" t="s">
        <v>458</v>
      </c>
      <c r="C106" s="157" t="s">
        <v>27</v>
      </c>
      <c r="D106" s="230"/>
      <c r="E106" s="230"/>
      <c r="F106" s="230"/>
    </row>
    <row r="107" spans="1:7" s="119" customFormat="1" ht="20.5" customHeight="1" x14ac:dyDescent="0.25">
      <c r="A107" s="134" t="s">
        <v>457</v>
      </c>
      <c r="B107" s="239" t="s">
        <v>460</v>
      </c>
      <c r="C107" s="157" t="s">
        <v>27</v>
      </c>
      <c r="D107" s="230"/>
      <c r="E107" s="230"/>
      <c r="F107" s="230"/>
    </row>
    <row r="108" spans="1:7" s="118" customFormat="1" ht="32.15" customHeight="1" x14ac:dyDescent="0.3">
      <c r="A108" s="133" t="s">
        <v>459</v>
      </c>
      <c r="B108" s="239" t="s">
        <v>461</v>
      </c>
      <c r="C108" s="137" t="s">
        <v>6</v>
      </c>
      <c r="D108" s="164"/>
      <c r="E108" s="230">
        <f>IF(D108="ja",5,0)</f>
        <v>0</v>
      </c>
      <c r="F108" s="294">
        <f>(Jämförelsesumma!$E$6/Jämförelsesumma!$F$6)*E108</f>
        <v>0</v>
      </c>
    </row>
    <row r="109" spans="1:7" x14ac:dyDescent="0.3">
      <c r="B109" s="276" t="s">
        <v>170</v>
      </c>
      <c r="E109" s="115">
        <f>SUM(E6:E108)</f>
        <v>0</v>
      </c>
    </row>
  </sheetData>
  <autoFilter ref="A3:T109" xr:uid="{49029C6F-C54F-47DE-A11E-3BD6A7AAAD9C}"/>
  <phoneticPr fontId="9" type="noConversion"/>
  <dataValidations count="2">
    <dataValidation type="list" allowBlank="1" showInputMessage="1" showErrorMessage="1" sqref="D24 D73 D47 D56 D108 D40:D41" xr:uid="{2813BBA8-7CDD-4AAB-80AB-F67ADB3ED92A}">
      <formula1>$H$24:$I$24</formula1>
    </dataValidation>
    <dataValidation type="list" allowBlank="1" showInputMessage="1" showErrorMessage="1" sqref="D49" xr:uid="{1AE0BE72-11F3-4D7A-8CC7-9DE39BD018E9}">
      <formula1>$H$49:$J$49</formula1>
    </dataValidation>
  </dataValidations>
  <pageMargins left="0.74803149606299213" right="0.55118110236220474" top="0.98425196850393704" bottom="0.98425196850393704" header="0.51181102362204722" footer="0.51181102362204722"/>
  <pageSetup paperSize="9" fitToHeight="0" orientation="landscape" r:id="rId1"/>
  <headerFooter alignWithMargins="0">
    <oddFooter>&amp;C_x000D_&amp;1#&amp;"Arial"&amp;9&amp;K000000 Confidential&amp;RPage &amp;P(&amp;N)</oddFooter>
  </headerFooter>
  <rowBreaks count="1" manualBreakCount="1">
    <brk id="73" max="5" man="1"/>
  </rowBreaks>
  <ignoredErrors>
    <ignoredError sqref="E1" unlockedFormula="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CDA7-635B-4124-9626-C3EA78716325}">
  <sheetPr>
    <tabColor rgb="FFFF0000"/>
    <pageSetUpPr autoPageBreaks="0" fitToPage="1"/>
  </sheetPr>
  <dimension ref="A1:H40"/>
  <sheetViews>
    <sheetView showGridLines="0" topLeftCell="A10" zoomScaleNormal="100" workbookViewId="0">
      <selection activeCell="B15" sqref="B15"/>
    </sheetView>
  </sheetViews>
  <sheetFormatPr defaultColWidth="9.1796875" defaultRowHeight="12.5" x14ac:dyDescent="0.25"/>
  <cols>
    <col min="1" max="1" width="6.81640625" style="77" customWidth="1"/>
    <col min="2" max="2" width="55.54296875" style="78" customWidth="1"/>
    <col min="3" max="3" width="8.81640625" style="67" customWidth="1"/>
    <col min="4" max="5" width="4.81640625" style="66" customWidth="1"/>
    <col min="6" max="6" width="55.54296875" style="79" customWidth="1"/>
    <col min="7" max="7" width="9.1796875" style="66"/>
    <col min="8" max="8" width="9.1796875" style="67" hidden="1" customWidth="1"/>
    <col min="9" max="9" width="16.453125" style="66" customWidth="1"/>
    <col min="10" max="10" width="39.1796875" style="66" customWidth="1"/>
    <col min="11" max="14" width="9.1796875" style="66" customWidth="1"/>
    <col min="15" max="16384" width="9.1796875" style="66"/>
  </cols>
  <sheetData>
    <row r="1" spans="1:8" ht="32.25" customHeight="1" x14ac:dyDescent="0.35">
      <c r="A1" s="61">
        <v>7</v>
      </c>
      <c r="B1" s="61" t="s">
        <v>462</v>
      </c>
      <c r="C1" s="62" t="s">
        <v>463</v>
      </c>
      <c r="D1" s="63" t="s">
        <v>464</v>
      </c>
      <c r="E1" s="64" t="s">
        <v>465</v>
      </c>
      <c r="F1" s="65"/>
      <c r="H1" s="67" t="s">
        <v>466</v>
      </c>
    </row>
    <row r="2" spans="1:8" x14ac:dyDescent="0.25">
      <c r="A2" s="80" t="s">
        <v>20</v>
      </c>
      <c r="B2" s="86" t="s">
        <v>21</v>
      </c>
      <c r="C2" s="68"/>
      <c r="D2" s="81" t="s">
        <v>467</v>
      </c>
      <c r="E2" s="82" t="s">
        <v>467</v>
      </c>
      <c r="F2" s="69" t="s">
        <v>468</v>
      </c>
    </row>
    <row r="3" spans="1:8" s="88" customFormat="1" ht="13" x14ac:dyDescent="0.25">
      <c r="A3" s="87" t="s">
        <v>469</v>
      </c>
      <c r="B3" s="361" t="s">
        <v>470</v>
      </c>
      <c r="C3" s="361"/>
      <c r="D3" s="361"/>
      <c r="E3" s="361"/>
      <c r="F3" s="362"/>
      <c r="H3" s="89"/>
    </row>
    <row r="4" spans="1:8" s="88" customFormat="1" ht="37.5" x14ac:dyDescent="0.25">
      <c r="A4" s="49" t="s">
        <v>471</v>
      </c>
      <c r="B4" s="50" t="s">
        <v>472</v>
      </c>
      <c r="C4" s="73" t="s">
        <v>473</v>
      </c>
      <c r="D4" s="84"/>
      <c r="E4" s="84"/>
      <c r="F4" s="90"/>
      <c r="H4" s="89"/>
    </row>
    <row r="5" spans="1:8" s="88" customFormat="1" ht="25" x14ac:dyDescent="0.25">
      <c r="A5" s="52" t="s">
        <v>474</v>
      </c>
      <c r="B5" s="53" t="s">
        <v>475</v>
      </c>
      <c r="C5" s="74"/>
      <c r="D5" s="85"/>
      <c r="E5" s="85"/>
      <c r="F5" s="54"/>
      <c r="H5" s="89"/>
    </row>
    <row r="6" spans="1:8" s="88" customFormat="1" ht="25" x14ac:dyDescent="0.25">
      <c r="A6" s="52" t="s">
        <v>476</v>
      </c>
      <c r="B6" s="75" t="s">
        <v>477</v>
      </c>
      <c r="C6" s="74"/>
      <c r="D6" s="85"/>
      <c r="E6" s="85"/>
      <c r="F6" s="76"/>
      <c r="H6" s="89"/>
    </row>
    <row r="7" spans="1:8" s="88" customFormat="1" ht="25" x14ac:dyDescent="0.25">
      <c r="A7" s="52" t="s">
        <v>478</v>
      </c>
      <c r="B7" s="53" t="s">
        <v>479</v>
      </c>
      <c r="C7" s="74"/>
      <c r="D7" s="85"/>
      <c r="E7" s="85"/>
      <c r="F7" s="76"/>
      <c r="H7" s="89"/>
    </row>
    <row r="8" spans="1:8" s="88" customFormat="1" ht="25" x14ac:dyDescent="0.25">
      <c r="A8" s="52" t="s">
        <v>480</v>
      </c>
      <c r="B8" s="53" t="s">
        <v>481</v>
      </c>
      <c r="C8" s="74"/>
      <c r="D8" s="85"/>
      <c r="E8" s="85"/>
      <c r="F8" s="54"/>
      <c r="H8" s="89"/>
    </row>
    <row r="9" spans="1:8" s="88" customFormat="1" ht="25" x14ac:dyDescent="0.25">
      <c r="A9" s="52" t="s">
        <v>482</v>
      </c>
      <c r="B9" s="53" t="s">
        <v>483</v>
      </c>
      <c r="C9" s="74"/>
      <c r="D9" s="85"/>
      <c r="E9" s="85"/>
      <c r="F9" s="54"/>
      <c r="H9" s="89"/>
    </row>
    <row r="10" spans="1:8" s="88" customFormat="1" ht="50" x14ac:dyDescent="0.25">
      <c r="A10" s="52" t="s">
        <v>484</v>
      </c>
      <c r="B10" s="53" t="s">
        <v>485</v>
      </c>
      <c r="C10" s="74" t="s">
        <v>473</v>
      </c>
      <c r="D10" s="85"/>
      <c r="E10" s="85"/>
      <c r="F10" s="54"/>
      <c r="H10" s="89"/>
    </row>
    <row r="11" spans="1:8" s="88" customFormat="1" ht="75" x14ac:dyDescent="0.25">
      <c r="A11" s="52" t="s">
        <v>486</v>
      </c>
      <c r="B11" s="53" t="s">
        <v>487</v>
      </c>
      <c r="C11" s="74" t="s">
        <v>473</v>
      </c>
      <c r="D11" s="85"/>
      <c r="E11" s="85"/>
      <c r="F11" s="76"/>
      <c r="H11" s="89"/>
    </row>
    <row r="12" spans="1:8" s="88" customFormat="1" ht="13" x14ac:dyDescent="0.25">
      <c r="A12" s="91" t="s">
        <v>488</v>
      </c>
      <c r="B12" s="92" t="s">
        <v>489</v>
      </c>
      <c r="C12" s="92"/>
      <c r="D12" s="92"/>
      <c r="E12" s="92"/>
      <c r="F12" s="93"/>
      <c r="H12" s="89"/>
    </row>
    <row r="13" spans="1:8" s="70" customFormat="1" ht="25" x14ac:dyDescent="0.25">
      <c r="A13" s="49" t="s">
        <v>490</v>
      </c>
      <c r="B13" s="94" t="s">
        <v>491</v>
      </c>
      <c r="C13" s="73"/>
      <c r="D13" s="50"/>
      <c r="E13" s="50"/>
      <c r="F13" s="51"/>
      <c r="H13" s="71" t="e">
        <f>+D13*#REF!</f>
        <v>#REF!</v>
      </c>
    </row>
    <row r="14" spans="1:8" s="70" customFormat="1" ht="50" x14ac:dyDescent="0.25">
      <c r="A14" s="52" t="s">
        <v>492</v>
      </c>
      <c r="B14" s="75" t="s">
        <v>493</v>
      </c>
      <c r="C14" s="74" t="s">
        <v>473</v>
      </c>
      <c r="D14" s="53"/>
      <c r="E14" s="53"/>
      <c r="F14" s="54"/>
      <c r="H14" s="71" t="e">
        <f>+D14*#REF!</f>
        <v>#REF!</v>
      </c>
    </row>
    <row r="15" spans="1:8" s="70" customFormat="1" ht="25" x14ac:dyDescent="0.25">
      <c r="A15" s="52" t="s">
        <v>494</v>
      </c>
      <c r="B15" s="75" t="s">
        <v>495</v>
      </c>
      <c r="C15" s="74"/>
      <c r="D15" s="53"/>
      <c r="E15" s="53"/>
      <c r="F15" s="54"/>
      <c r="H15" s="71" t="e">
        <f>+D15*#REF!</f>
        <v>#REF!</v>
      </c>
    </row>
    <row r="16" spans="1:8" s="70" customFormat="1" ht="25" x14ac:dyDescent="0.25">
      <c r="A16" s="52" t="s">
        <v>496</v>
      </c>
      <c r="B16" s="75" t="s">
        <v>497</v>
      </c>
      <c r="C16" s="74"/>
      <c r="D16" s="53"/>
      <c r="E16" s="53"/>
      <c r="F16" s="54"/>
      <c r="H16" s="71"/>
    </row>
    <row r="17" spans="1:8" s="70" customFormat="1" x14ac:dyDescent="0.25">
      <c r="A17" s="52" t="s">
        <v>498</v>
      </c>
      <c r="B17" s="75" t="s">
        <v>499</v>
      </c>
      <c r="C17" s="74"/>
      <c r="D17" s="53"/>
      <c r="E17" s="53"/>
      <c r="F17" s="54"/>
      <c r="H17" s="71"/>
    </row>
    <row r="18" spans="1:8" s="70" customFormat="1" x14ac:dyDescent="0.25">
      <c r="A18" s="52" t="s">
        <v>500</v>
      </c>
      <c r="B18" s="75" t="s">
        <v>501</v>
      </c>
      <c r="C18" s="74"/>
      <c r="D18" s="53"/>
      <c r="E18" s="53"/>
      <c r="F18" s="54"/>
      <c r="H18" s="71"/>
    </row>
    <row r="19" spans="1:8" s="70" customFormat="1" x14ac:dyDescent="0.25">
      <c r="A19" s="52" t="s">
        <v>502</v>
      </c>
      <c r="B19" s="75" t="s">
        <v>503</v>
      </c>
      <c r="C19" s="74"/>
      <c r="D19" s="53"/>
      <c r="E19" s="53"/>
      <c r="F19" s="54"/>
      <c r="H19" s="71"/>
    </row>
    <row r="20" spans="1:8" s="72" customFormat="1" ht="13" x14ac:dyDescent="0.25">
      <c r="A20" s="95" t="s">
        <v>488</v>
      </c>
      <c r="B20" s="363" t="s">
        <v>504</v>
      </c>
      <c r="C20" s="363"/>
      <c r="D20" s="363"/>
      <c r="E20" s="363"/>
      <c r="F20" s="364"/>
      <c r="H20" s="71" t="e">
        <f>+D20*#REF!</f>
        <v>#REF!</v>
      </c>
    </row>
    <row r="21" spans="1:8" s="72" customFormat="1" ht="75" x14ac:dyDescent="0.25">
      <c r="A21" s="49" t="s">
        <v>505</v>
      </c>
      <c r="B21" s="94" t="s">
        <v>506</v>
      </c>
      <c r="C21" s="73"/>
      <c r="D21" s="50"/>
      <c r="E21" s="50"/>
      <c r="F21" s="51"/>
      <c r="H21" s="71"/>
    </row>
    <row r="22" spans="1:8" s="72" customFormat="1" ht="13" x14ac:dyDescent="0.25">
      <c r="A22" s="52" t="s">
        <v>507</v>
      </c>
      <c r="B22" s="75" t="s">
        <v>508</v>
      </c>
      <c r="C22" s="74"/>
      <c r="D22" s="53"/>
      <c r="E22" s="53"/>
      <c r="F22" s="54"/>
      <c r="H22" s="71"/>
    </row>
    <row r="23" spans="1:8" s="72" customFormat="1" ht="25" x14ac:dyDescent="0.25">
      <c r="A23" s="52" t="s">
        <v>509</v>
      </c>
      <c r="B23" s="75" t="s">
        <v>510</v>
      </c>
      <c r="C23" s="74"/>
      <c r="D23" s="53"/>
      <c r="E23" s="53"/>
      <c r="F23" s="54"/>
      <c r="H23" s="71"/>
    </row>
    <row r="24" spans="1:8" s="72" customFormat="1" ht="50" x14ac:dyDescent="0.25">
      <c r="A24" s="52" t="s">
        <v>511</v>
      </c>
      <c r="B24" s="75" t="s">
        <v>512</v>
      </c>
      <c r="C24" s="74"/>
      <c r="D24" s="53"/>
      <c r="E24" s="53"/>
      <c r="F24" s="54"/>
      <c r="H24" s="71"/>
    </row>
    <row r="25" spans="1:8" s="72" customFormat="1" ht="50" x14ac:dyDescent="0.25">
      <c r="A25" s="52" t="s">
        <v>513</v>
      </c>
      <c r="B25" s="75" t="s">
        <v>514</v>
      </c>
      <c r="C25" s="74"/>
      <c r="D25" s="53"/>
      <c r="E25" s="53"/>
      <c r="F25" s="54"/>
      <c r="H25" s="71"/>
    </row>
    <row r="26" spans="1:8" s="72" customFormat="1" ht="37.5" x14ac:dyDescent="0.25">
      <c r="A26" s="52" t="s">
        <v>515</v>
      </c>
      <c r="B26" s="53" t="s">
        <v>516</v>
      </c>
      <c r="C26" s="74"/>
      <c r="D26" s="53"/>
      <c r="E26" s="53"/>
      <c r="F26" s="54"/>
      <c r="H26" s="71"/>
    </row>
    <row r="27" spans="1:8" s="70" customFormat="1" ht="37.5" x14ac:dyDescent="0.25">
      <c r="A27" s="52" t="s">
        <v>517</v>
      </c>
      <c r="B27" s="75" t="s">
        <v>518</v>
      </c>
      <c r="C27" s="74"/>
      <c r="D27" s="53"/>
      <c r="E27" s="53"/>
      <c r="F27" s="54"/>
      <c r="H27" s="71"/>
    </row>
    <row r="28" spans="1:8" s="70" customFormat="1" x14ac:dyDescent="0.25">
      <c r="A28" s="52" t="s">
        <v>519</v>
      </c>
      <c r="B28" s="75" t="s">
        <v>520</v>
      </c>
      <c r="C28" s="74"/>
      <c r="D28" s="53"/>
      <c r="E28" s="53"/>
      <c r="F28" s="54"/>
      <c r="H28" s="71"/>
    </row>
    <row r="29" spans="1:8" s="70" customFormat="1" x14ac:dyDescent="0.25">
      <c r="A29" s="52" t="s">
        <v>521</v>
      </c>
      <c r="B29" s="75" t="s">
        <v>522</v>
      </c>
      <c r="C29" s="74"/>
      <c r="D29" s="53"/>
      <c r="E29" s="53"/>
      <c r="F29" s="54"/>
      <c r="H29" s="71" t="e">
        <f>+D29*#REF!</f>
        <v>#REF!</v>
      </c>
    </row>
    <row r="30" spans="1:8" s="70" customFormat="1" ht="25" x14ac:dyDescent="0.25">
      <c r="A30" s="52" t="s">
        <v>523</v>
      </c>
      <c r="B30" s="75" t="s">
        <v>524</v>
      </c>
      <c r="C30" s="74"/>
      <c r="D30" s="53"/>
      <c r="E30" s="53"/>
      <c r="F30" s="54"/>
      <c r="H30" s="71" t="e">
        <f>+D30*#REF!</f>
        <v>#REF!</v>
      </c>
    </row>
    <row r="31" spans="1:8" s="70" customFormat="1" ht="25" x14ac:dyDescent="0.25">
      <c r="A31" s="52" t="s">
        <v>525</v>
      </c>
      <c r="B31" s="75" t="s">
        <v>526</v>
      </c>
      <c r="C31" s="74"/>
      <c r="D31" s="53"/>
      <c r="E31" s="53"/>
      <c r="F31" s="54"/>
      <c r="H31" s="71" t="e">
        <f>+D31*#REF!</f>
        <v>#REF!</v>
      </c>
    </row>
    <row r="32" spans="1:8" s="70" customFormat="1" ht="25" x14ac:dyDescent="0.25">
      <c r="A32" s="52" t="s">
        <v>527</v>
      </c>
      <c r="B32" s="75" t="s">
        <v>528</v>
      </c>
      <c r="C32" s="74"/>
      <c r="D32" s="53"/>
      <c r="E32" s="53"/>
      <c r="F32" s="54"/>
      <c r="H32" s="71" t="e">
        <f>+D32*#REF!</f>
        <v>#REF!</v>
      </c>
    </row>
    <row r="33" spans="1:8" s="70" customFormat="1" ht="25" x14ac:dyDescent="0.25">
      <c r="A33" s="52" t="s">
        <v>529</v>
      </c>
      <c r="B33" s="75" t="s">
        <v>530</v>
      </c>
      <c r="C33" s="74"/>
      <c r="D33" s="53"/>
      <c r="E33" s="53"/>
      <c r="F33" s="54"/>
      <c r="H33" s="71"/>
    </row>
    <row r="34" spans="1:8" s="70" customFormat="1" ht="25" x14ac:dyDescent="0.25">
      <c r="A34" s="52" t="s">
        <v>531</v>
      </c>
      <c r="B34" s="75" t="s">
        <v>532</v>
      </c>
      <c r="C34" s="74"/>
      <c r="D34" s="53"/>
      <c r="E34" s="53"/>
      <c r="F34" s="54"/>
      <c r="H34" s="71"/>
    </row>
    <row r="35" spans="1:8" s="72" customFormat="1" ht="13" x14ac:dyDescent="0.25">
      <c r="A35" s="83" t="s">
        <v>533</v>
      </c>
      <c r="B35" s="365" t="s">
        <v>110</v>
      </c>
      <c r="C35" s="365"/>
      <c r="D35" s="365"/>
      <c r="E35" s="365"/>
      <c r="F35" s="366"/>
      <c r="H35" s="71" t="e">
        <f>+D35*#REF!</f>
        <v>#REF!</v>
      </c>
    </row>
    <row r="36" spans="1:8" s="70" customFormat="1" x14ac:dyDescent="0.25">
      <c r="A36" s="49" t="s">
        <v>534</v>
      </c>
      <c r="B36" s="75" t="s">
        <v>535</v>
      </c>
      <c r="C36" s="73"/>
      <c r="D36" s="50"/>
      <c r="E36" s="50"/>
      <c r="F36" s="51"/>
      <c r="H36" s="71"/>
    </row>
    <row r="37" spans="1:8" s="70" customFormat="1" ht="25" x14ac:dyDescent="0.25">
      <c r="A37" s="52" t="s">
        <v>536</v>
      </c>
      <c r="B37" s="75" t="s">
        <v>537</v>
      </c>
      <c r="C37" s="74"/>
      <c r="D37" s="53"/>
      <c r="E37" s="53"/>
      <c r="F37" s="54"/>
      <c r="H37" s="71"/>
    </row>
    <row r="38" spans="1:8" s="70" customFormat="1" x14ac:dyDescent="0.25">
      <c r="A38" s="52" t="s">
        <v>538</v>
      </c>
      <c r="B38" s="75" t="s">
        <v>539</v>
      </c>
      <c r="C38" s="74"/>
      <c r="D38" s="53"/>
      <c r="E38" s="53"/>
      <c r="F38" s="54"/>
      <c r="H38" s="71"/>
    </row>
    <row r="39" spans="1:8" s="70" customFormat="1" ht="25" x14ac:dyDescent="0.25">
      <c r="A39" s="52" t="s">
        <v>540</v>
      </c>
      <c r="B39" s="75" t="s">
        <v>541</v>
      </c>
      <c r="C39" s="74"/>
      <c r="D39" s="53"/>
      <c r="E39" s="53"/>
      <c r="F39" s="54"/>
      <c r="H39" s="71"/>
    </row>
    <row r="40" spans="1:8" s="70" customFormat="1" ht="25" x14ac:dyDescent="0.25">
      <c r="A40" s="96" t="s">
        <v>542</v>
      </c>
      <c r="B40" s="75" t="s">
        <v>543</v>
      </c>
      <c r="C40" s="74"/>
      <c r="D40" s="53"/>
      <c r="E40" s="53"/>
      <c r="F40" s="76"/>
      <c r="H40" s="71"/>
    </row>
  </sheetData>
  <mergeCells count="3">
    <mergeCell ref="B3:F3"/>
    <mergeCell ref="B20:F20"/>
    <mergeCell ref="B35:F35"/>
  </mergeCells>
  <pageMargins left="0.74803149606299213" right="0.55118110236220474" top="0.98425196850393704" bottom="0.98425196850393704" header="0.51181102362204722" footer="0.51181102362204722"/>
  <pageSetup paperSize="9" scale="66" fitToHeight="0" orientation="portrait" r:id="rId1"/>
  <headerFooter alignWithMargins="0">
    <oddHeader>&amp;LMicrodata Telecom&amp;R&amp;D</oddHeader>
    <oddFooter>&amp;C_x000D_&amp;1#&amp;"Arial"&amp;9&amp;K000000 Confidential&amp;RPage &amp;P(&amp;N)</oddFooter>
  </headerFooter>
  <rowBreaks count="1" manualBreakCount="1">
    <brk id="34"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autoPageBreaks="0" fitToPage="1"/>
  </sheetPr>
  <dimension ref="A1:H57"/>
  <sheetViews>
    <sheetView showGridLines="0" topLeftCell="A16" zoomScaleNormal="100" workbookViewId="0">
      <selection activeCell="F9" sqref="F9"/>
    </sheetView>
  </sheetViews>
  <sheetFormatPr defaultColWidth="9.1796875" defaultRowHeight="12.5" x14ac:dyDescent="0.25"/>
  <cols>
    <col min="1" max="1" width="6.81640625" style="13" customWidth="1"/>
    <col min="2" max="2" width="55.54296875" style="10" customWidth="1"/>
    <col min="3" max="3" width="8.81640625" style="8" customWidth="1"/>
    <col min="4" max="5" width="4.81640625" style="15" customWidth="1"/>
    <col min="6" max="6" width="55.54296875" style="18" customWidth="1"/>
    <col min="7" max="7" width="9.1796875" style="15"/>
    <col min="8" max="8" width="9.54296875" style="8" hidden="1" customWidth="1"/>
    <col min="9" max="9" width="17.81640625" style="15" customWidth="1"/>
    <col min="10" max="10" width="51.1796875" style="15" customWidth="1"/>
    <col min="11" max="16384" width="9.1796875" style="15"/>
  </cols>
  <sheetData>
    <row r="1" spans="1:8" ht="32.25" customHeight="1" x14ac:dyDescent="0.35">
      <c r="A1" s="4">
        <v>9</v>
      </c>
      <c r="B1" s="42" t="s">
        <v>544</v>
      </c>
      <c r="C1" s="9" t="s">
        <v>463</v>
      </c>
      <c r="D1" s="3" t="s">
        <v>464</v>
      </c>
      <c r="E1" s="2" t="s">
        <v>465</v>
      </c>
      <c r="F1" s="55"/>
      <c r="H1" s="8" t="s">
        <v>466</v>
      </c>
    </row>
    <row r="2" spans="1:8" x14ac:dyDescent="0.25">
      <c r="A2" s="14" t="s">
        <v>20</v>
      </c>
      <c r="B2" s="59" t="s">
        <v>21</v>
      </c>
      <c r="C2" s="60"/>
      <c r="D2" s="56" t="s">
        <v>467</v>
      </c>
      <c r="E2" s="57" t="s">
        <v>467</v>
      </c>
      <c r="F2" s="58" t="s">
        <v>468</v>
      </c>
    </row>
    <row r="3" spans="1:8" s="1" customFormat="1" ht="13" x14ac:dyDescent="0.25">
      <c r="A3" s="19" t="s">
        <v>545</v>
      </c>
      <c r="B3" s="369" t="s">
        <v>470</v>
      </c>
      <c r="C3" s="369"/>
      <c r="D3" s="369"/>
      <c r="E3" s="369"/>
      <c r="F3" s="370"/>
      <c r="H3" s="5"/>
    </row>
    <row r="4" spans="1:8" s="16" customFormat="1" ht="25" x14ac:dyDescent="0.25">
      <c r="A4" s="21" t="s">
        <v>546</v>
      </c>
      <c r="B4" s="33" t="s">
        <v>547</v>
      </c>
      <c r="C4" s="22"/>
      <c r="D4" s="33"/>
      <c r="E4" s="33"/>
      <c r="F4" s="23"/>
      <c r="H4" s="17" t="e">
        <f>+D4*#REF!</f>
        <v>#REF!</v>
      </c>
    </row>
    <row r="5" spans="1:8" s="16" customFormat="1" ht="50" x14ac:dyDescent="0.25">
      <c r="A5" s="24" t="s">
        <v>548</v>
      </c>
      <c r="B5" s="28" t="s">
        <v>549</v>
      </c>
      <c r="C5" s="26" t="s">
        <v>473</v>
      </c>
      <c r="D5" s="28"/>
      <c r="E5" s="28"/>
      <c r="F5" s="27"/>
      <c r="H5" s="17" t="e">
        <f>+D5*#REF!</f>
        <v>#REF!</v>
      </c>
    </row>
    <row r="6" spans="1:8" s="16" customFormat="1" ht="25" x14ac:dyDescent="0.25">
      <c r="A6" s="24" t="s">
        <v>550</v>
      </c>
      <c r="B6" s="28" t="s">
        <v>551</v>
      </c>
      <c r="C6" s="26"/>
      <c r="D6" s="28"/>
      <c r="E6" s="28"/>
      <c r="F6" s="27"/>
      <c r="H6" s="17" t="e">
        <f>+D6*#REF!</f>
        <v>#REF!</v>
      </c>
    </row>
    <row r="7" spans="1:8" s="16" customFormat="1" ht="37.5" x14ac:dyDescent="0.25">
      <c r="A7" s="24" t="s">
        <v>552</v>
      </c>
      <c r="B7" s="28" t="s">
        <v>553</v>
      </c>
      <c r="C7" s="26"/>
      <c r="D7" s="28"/>
      <c r="E7" s="28"/>
      <c r="F7" s="27"/>
      <c r="H7" s="17" t="e">
        <f>+D7*#REF!</f>
        <v>#REF!</v>
      </c>
    </row>
    <row r="8" spans="1:8" s="16" customFormat="1" ht="37.5" x14ac:dyDescent="0.25">
      <c r="A8" s="24" t="s">
        <v>554</v>
      </c>
      <c r="B8" s="28" t="s">
        <v>555</v>
      </c>
      <c r="C8" s="26"/>
      <c r="D8" s="28"/>
      <c r="E8" s="28"/>
      <c r="F8" s="27"/>
      <c r="H8" s="17" t="e">
        <f>+D8*#REF!</f>
        <v>#REF!</v>
      </c>
    </row>
    <row r="9" spans="1:8" s="16" customFormat="1" ht="75" x14ac:dyDescent="0.25">
      <c r="A9" s="24" t="s">
        <v>556</v>
      </c>
      <c r="B9" s="34" t="s">
        <v>557</v>
      </c>
      <c r="C9" s="26"/>
      <c r="D9" s="28"/>
      <c r="E9" s="28"/>
      <c r="F9" s="27"/>
      <c r="H9" s="17"/>
    </row>
    <row r="10" spans="1:8" s="7" customFormat="1" ht="13" x14ac:dyDescent="0.25">
      <c r="A10" s="6" t="s">
        <v>558</v>
      </c>
      <c r="B10" s="367" t="s">
        <v>559</v>
      </c>
      <c r="C10" s="367"/>
      <c r="D10" s="367"/>
      <c r="E10" s="367"/>
      <c r="F10" s="368"/>
      <c r="H10" s="17" t="e">
        <f>+D10*#REF!</f>
        <v>#REF!</v>
      </c>
    </row>
    <row r="11" spans="1:8" s="7" customFormat="1" ht="37.5" x14ac:dyDescent="0.25">
      <c r="A11" s="21" t="s">
        <v>560</v>
      </c>
      <c r="B11" s="33" t="s">
        <v>561</v>
      </c>
      <c r="C11" s="22"/>
      <c r="D11" s="33"/>
      <c r="E11" s="33"/>
      <c r="F11" s="23"/>
      <c r="H11" s="17"/>
    </row>
    <row r="12" spans="1:8" s="16" customFormat="1" ht="25" x14ac:dyDescent="0.25">
      <c r="A12" s="24" t="s">
        <v>562</v>
      </c>
      <c r="B12" s="28" t="s">
        <v>563</v>
      </c>
      <c r="C12" s="26"/>
      <c r="D12" s="28"/>
      <c r="E12" s="28"/>
      <c r="F12" s="27"/>
      <c r="H12" s="17" t="e">
        <f>+D12*#REF!</f>
        <v>#REF!</v>
      </c>
    </row>
    <row r="13" spans="1:8" s="16" customFormat="1" ht="37.5" x14ac:dyDescent="0.25">
      <c r="A13" s="24" t="s">
        <v>564</v>
      </c>
      <c r="B13" s="28" t="s">
        <v>565</v>
      </c>
      <c r="C13" s="26"/>
      <c r="D13" s="28"/>
      <c r="E13" s="28"/>
      <c r="F13" s="27"/>
      <c r="H13" s="17" t="e">
        <f>+D13*#REF!</f>
        <v>#REF!</v>
      </c>
    </row>
    <row r="14" spans="1:8" s="16" customFormat="1" ht="25" x14ac:dyDescent="0.25">
      <c r="A14" s="24" t="s">
        <v>566</v>
      </c>
      <c r="B14" s="28" t="s">
        <v>567</v>
      </c>
      <c r="C14" s="26"/>
      <c r="D14" s="28"/>
      <c r="E14" s="28"/>
      <c r="F14" s="27"/>
      <c r="H14" s="17" t="e">
        <f>+D14*#REF!</f>
        <v>#REF!</v>
      </c>
    </row>
    <row r="15" spans="1:8" s="16" customFormat="1" ht="25" x14ac:dyDescent="0.25">
      <c r="A15" s="24" t="s">
        <v>568</v>
      </c>
      <c r="B15" s="28" t="s">
        <v>569</v>
      </c>
      <c r="C15" s="26"/>
      <c r="D15" s="28"/>
      <c r="E15" s="28"/>
      <c r="F15" s="27"/>
      <c r="H15" s="17" t="e">
        <f>+D15*#REF!</f>
        <v>#REF!</v>
      </c>
    </row>
    <row r="16" spans="1:8" s="16" customFormat="1" ht="25" x14ac:dyDescent="0.25">
      <c r="A16" s="24" t="s">
        <v>570</v>
      </c>
      <c r="B16" s="34" t="s">
        <v>571</v>
      </c>
      <c r="C16" s="26"/>
      <c r="D16" s="28"/>
      <c r="E16" s="28"/>
      <c r="F16" s="27"/>
      <c r="H16" s="17"/>
    </row>
    <row r="17" spans="1:8" s="16" customFormat="1" ht="25" x14ac:dyDescent="0.25">
      <c r="A17" s="24" t="s">
        <v>572</v>
      </c>
      <c r="B17" s="97" t="s">
        <v>573</v>
      </c>
      <c r="C17" s="26"/>
      <c r="D17" s="28"/>
      <c r="E17" s="28"/>
      <c r="F17" s="27"/>
      <c r="H17" s="17"/>
    </row>
    <row r="18" spans="1:8" s="16" customFormat="1" ht="25" x14ac:dyDescent="0.25">
      <c r="A18" s="24" t="s">
        <v>574</v>
      </c>
      <c r="B18" s="37" t="s">
        <v>575</v>
      </c>
      <c r="C18" s="26"/>
      <c r="D18" s="28"/>
      <c r="E18" s="28"/>
      <c r="F18" s="27"/>
      <c r="H18" s="17"/>
    </row>
    <row r="19" spans="1:8" s="7" customFormat="1" ht="13" x14ac:dyDescent="0.25">
      <c r="A19" s="20" t="s">
        <v>576</v>
      </c>
      <c r="B19" s="371" t="s">
        <v>577</v>
      </c>
      <c r="C19" s="371"/>
      <c r="D19" s="371"/>
      <c r="E19" s="371"/>
      <c r="F19" s="372"/>
      <c r="H19" s="17" t="e">
        <f>+D19*#REF!</f>
        <v>#REF!</v>
      </c>
    </row>
    <row r="20" spans="1:8" s="16" customFormat="1" ht="25" x14ac:dyDescent="0.25">
      <c r="A20" s="21" t="s">
        <v>578</v>
      </c>
      <c r="B20" s="28" t="s">
        <v>579</v>
      </c>
      <c r="C20" s="22"/>
      <c r="D20" s="33"/>
      <c r="E20" s="33"/>
      <c r="F20" s="23"/>
      <c r="H20" s="17" t="e">
        <f>+D20*#REF!</f>
        <v>#REF!</v>
      </c>
    </row>
    <row r="21" spans="1:8" s="16" customFormat="1" ht="37.5" x14ac:dyDescent="0.25">
      <c r="A21" s="24" t="s">
        <v>580</v>
      </c>
      <c r="B21" s="28" t="s">
        <v>581</v>
      </c>
      <c r="C21" s="26"/>
      <c r="D21" s="28"/>
      <c r="E21" s="28"/>
      <c r="F21" s="27"/>
      <c r="H21" s="17" t="e">
        <f>+D21*#REF!</f>
        <v>#REF!</v>
      </c>
    </row>
    <row r="22" spans="1:8" s="16" customFormat="1" ht="37.5" x14ac:dyDescent="0.25">
      <c r="A22" s="24" t="s">
        <v>582</v>
      </c>
      <c r="B22" s="28" t="s">
        <v>583</v>
      </c>
      <c r="C22" s="26" t="s">
        <v>473</v>
      </c>
      <c r="D22" s="28"/>
      <c r="E22" s="28"/>
      <c r="F22" s="27"/>
      <c r="H22" s="17" t="e">
        <f>+D22*#REF!</f>
        <v>#REF!</v>
      </c>
    </row>
    <row r="23" spans="1:8" s="16" customFormat="1" x14ac:dyDescent="0.25">
      <c r="A23" s="24" t="s">
        <v>584</v>
      </c>
      <c r="B23" s="34" t="s">
        <v>585</v>
      </c>
      <c r="C23" s="26"/>
      <c r="D23" s="28"/>
      <c r="E23" s="28"/>
      <c r="F23" s="27"/>
      <c r="H23" s="17" t="e">
        <f>+D23*#REF!</f>
        <v>#REF!</v>
      </c>
    </row>
    <row r="24" spans="1:8" s="16" customFormat="1" x14ac:dyDescent="0.25">
      <c r="A24" s="24" t="s">
        <v>586</v>
      </c>
      <c r="B24" s="34" t="s">
        <v>587</v>
      </c>
      <c r="C24" s="26"/>
      <c r="D24" s="28"/>
      <c r="E24" s="28"/>
      <c r="F24" s="27"/>
      <c r="H24" s="17" t="e">
        <f>+D24*#REF!</f>
        <v>#REF!</v>
      </c>
    </row>
    <row r="25" spans="1:8" s="16" customFormat="1" ht="25" x14ac:dyDescent="0.25">
      <c r="A25" s="24" t="s">
        <v>588</v>
      </c>
      <c r="B25" s="34" t="s">
        <v>589</v>
      </c>
      <c r="C25" s="26"/>
      <c r="D25" s="28"/>
      <c r="E25" s="28"/>
      <c r="F25" s="27"/>
      <c r="H25" s="17" t="e">
        <f>+D25*#REF!</f>
        <v>#REF!</v>
      </c>
    </row>
    <row r="26" spans="1:8" s="7" customFormat="1" ht="13" x14ac:dyDescent="0.25">
      <c r="A26" s="20" t="s">
        <v>590</v>
      </c>
      <c r="B26" s="371" t="s">
        <v>591</v>
      </c>
      <c r="C26" s="371"/>
      <c r="D26" s="371"/>
      <c r="E26" s="371"/>
      <c r="F26" s="372"/>
      <c r="H26" s="17" t="e">
        <f>+D26*#REF!</f>
        <v>#REF!</v>
      </c>
    </row>
    <row r="27" spans="1:8" s="16" customFormat="1" ht="25" x14ac:dyDescent="0.25">
      <c r="A27" s="21" t="s">
        <v>592</v>
      </c>
      <c r="B27" s="33" t="s">
        <v>593</v>
      </c>
      <c r="C27" s="22"/>
      <c r="D27" s="33"/>
      <c r="E27" s="33"/>
      <c r="F27" s="23"/>
      <c r="H27" s="17" t="e">
        <f>+D27*#REF!</f>
        <v>#REF!</v>
      </c>
    </row>
    <row r="28" spans="1:8" s="16" customFormat="1" ht="37.5" x14ac:dyDescent="0.25">
      <c r="A28" s="24" t="s">
        <v>594</v>
      </c>
      <c r="B28" s="37" t="s">
        <v>595</v>
      </c>
      <c r="C28" s="26"/>
      <c r="D28" s="28"/>
      <c r="E28" s="28"/>
      <c r="F28" s="27"/>
      <c r="H28" s="17" t="e">
        <f>+D28*#REF!</f>
        <v>#REF!</v>
      </c>
    </row>
    <row r="29" spans="1:8" s="7" customFormat="1" ht="13" x14ac:dyDescent="0.25">
      <c r="A29" s="20" t="s">
        <v>596</v>
      </c>
      <c r="B29" s="367" t="s">
        <v>597</v>
      </c>
      <c r="C29" s="371"/>
      <c r="D29" s="371"/>
      <c r="E29" s="367"/>
      <c r="F29" s="368"/>
      <c r="H29" s="17" t="e">
        <f>+D29*#REF!</f>
        <v>#REF!</v>
      </c>
    </row>
    <row r="30" spans="1:8" s="16" customFormat="1" ht="25" x14ac:dyDescent="0.25">
      <c r="A30" s="21" t="s">
        <v>598</v>
      </c>
      <c r="B30" s="33" t="s">
        <v>599</v>
      </c>
      <c r="C30" s="22"/>
      <c r="D30" s="33"/>
      <c r="E30" s="33"/>
      <c r="F30" s="23"/>
      <c r="H30" s="17" t="e">
        <f>+D30*#REF!</f>
        <v>#REF!</v>
      </c>
    </row>
    <row r="31" spans="1:8" s="16" customFormat="1" x14ac:dyDescent="0.25">
      <c r="A31" s="24" t="s">
        <v>600</v>
      </c>
      <c r="B31" s="28" t="s">
        <v>601</v>
      </c>
      <c r="C31" s="26"/>
      <c r="D31" s="28"/>
      <c r="E31" s="28"/>
      <c r="F31" s="27"/>
      <c r="H31" s="17" t="e">
        <f>+D31*#REF!</f>
        <v>#REF!</v>
      </c>
    </row>
    <row r="32" spans="1:8" s="16" customFormat="1" ht="25" x14ac:dyDescent="0.25">
      <c r="A32" s="24" t="s">
        <v>602</v>
      </c>
      <c r="B32" s="28" t="s">
        <v>603</v>
      </c>
      <c r="C32" s="26"/>
      <c r="D32" s="28"/>
      <c r="E32" s="28"/>
      <c r="F32" s="27"/>
      <c r="H32" s="17" t="e">
        <f>+D32*#REF!</f>
        <v>#REF!</v>
      </c>
    </row>
    <row r="33" spans="1:8" s="16" customFormat="1" ht="25" x14ac:dyDescent="0.25">
      <c r="A33" s="24" t="s">
        <v>604</v>
      </c>
      <c r="B33" s="28" t="s">
        <v>605</v>
      </c>
      <c r="C33" s="26"/>
      <c r="D33" s="28"/>
      <c r="E33" s="28"/>
      <c r="F33" s="27"/>
      <c r="H33" s="17" t="e">
        <f>+D33*#REF!</f>
        <v>#REF!</v>
      </c>
    </row>
    <row r="34" spans="1:8" s="16" customFormat="1" ht="37.5" x14ac:dyDescent="0.25">
      <c r="A34" s="24" t="s">
        <v>606</v>
      </c>
      <c r="B34" s="34" t="s">
        <v>607</v>
      </c>
      <c r="C34" s="26"/>
      <c r="D34" s="28"/>
      <c r="E34" s="28"/>
      <c r="F34" s="27"/>
      <c r="H34" s="17" t="e">
        <f>+D34*#REF!</f>
        <v>#REF!</v>
      </c>
    </row>
    <row r="35" spans="1:8" s="16" customFormat="1" ht="25" x14ac:dyDescent="0.25">
      <c r="A35" s="24" t="s">
        <v>608</v>
      </c>
      <c r="B35" s="34" t="s">
        <v>609</v>
      </c>
      <c r="C35" s="26"/>
      <c r="D35" s="28"/>
      <c r="E35" s="28"/>
      <c r="F35" s="27"/>
      <c r="H35" s="17" t="e">
        <f>+D35*#REF!</f>
        <v>#REF!</v>
      </c>
    </row>
    <row r="36" spans="1:8" s="7" customFormat="1" ht="13" x14ac:dyDescent="0.25">
      <c r="A36" s="20" t="s">
        <v>610</v>
      </c>
      <c r="B36" s="371" t="s">
        <v>611</v>
      </c>
      <c r="C36" s="371"/>
      <c r="D36" s="371"/>
      <c r="E36" s="371"/>
      <c r="F36" s="372"/>
      <c r="H36" s="17" t="e">
        <f>+D36*#REF!</f>
        <v>#REF!</v>
      </c>
    </row>
    <row r="37" spans="1:8" s="16" customFormat="1" x14ac:dyDescent="0.25">
      <c r="A37" s="21" t="s">
        <v>612</v>
      </c>
      <c r="B37" s="33" t="s">
        <v>613</v>
      </c>
      <c r="C37" s="22"/>
      <c r="D37" s="33"/>
      <c r="E37" s="33"/>
      <c r="F37" s="23"/>
      <c r="H37" s="17" t="e">
        <f>+D37*#REF!</f>
        <v>#REF!</v>
      </c>
    </row>
    <row r="38" spans="1:8" s="16" customFormat="1" ht="25" x14ac:dyDescent="0.25">
      <c r="A38" s="24" t="s">
        <v>614</v>
      </c>
      <c r="B38" s="28" t="s">
        <v>615</v>
      </c>
      <c r="C38" s="26"/>
      <c r="D38" s="28"/>
      <c r="E38" s="28"/>
      <c r="F38" s="27"/>
      <c r="H38" s="17" t="e">
        <f>+D38*#REF!</f>
        <v>#REF!</v>
      </c>
    </row>
    <row r="39" spans="1:8" s="16" customFormat="1" ht="37.5" x14ac:dyDescent="0.25">
      <c r="A39" s="24" t="s">
        <v>616</v>
      </c>
      <c r="B39" s="28" t="s">
        <v>617</v>
      </c>
      <c r="C39" s="26"/>
      <c r="D39" s="28"/>
      <c r="E39" s="28"/>
      <c r="F39" s="27"/>
      <c r="H39" s="17" t="e">
        <f>+D39*#REF!</f>
        <v>#REF!</v>
      </c>
    </row>
    <row r="40" spans="1:8" s="11" customFormat="1" ht="25" x14ac:dyDescent="0.25">
      <c r="A40" s="40" t="s">
        <v>618</v>
      </c>
      <c r="B40" s="34" t="s">
        <v>619</v>
      </c>
      <c r="C40" s="47"/>
      <c r="D40" s="35"/>
      <c r="E40" s="35"/>
      <c r="F40" s="36"/>
      <c r="G40" s="16"/>
      <c r="H40" s="12"/>
    </row>
    <row r="41" spans="1:8" s="11" customFormat="1" ht="25" x14ac:dyDescent="0.25">
      <c r="A41" s="41" t="s">
        <v>620</v>
      </c>
      <c r="B41" s="37" t="s">
        <v>621</v>
      </c>
      <c r="C41" s="48"/>
      <c r="D41" s="38"/>
      <c r="E41" s="38"/>
      <c r="F41" s="39"/>
      <c r="G41" s="16"/>
      <c r="H41" s="12" t="e">
        <f>+D41*#REF!</f>
        <v>#REF!</v>
      </c>
    </row>
    <row r="42" spans="1:8" s="7" customFormat="1" ht="13" x14ac:dyDescent="0.25">
      <c r="A42" s="6" t="s">
        <v>622</v>
      </c>
      <c r="B42" s="367" t="s">
        <v>623</v>
      </c>
      <c r="C42" s="367"/>
      <c r="D42" s="367"/>
      <c r="E42" s="367"/>
      <c r="F42" s="368"/>
      <c r="H42" s="17" t="e">
        <f>+D42*#REF!</f>
        <v>#REF!</v>
      </c>
    </row>
    <row r="43" spans="1:8" s="16" customFormat="1" ht="25" x14ac:dyDescent="0.25">
      <c r="A43" s="21" t="s">
        <v>624</v>
      </c>
      <c r="B43" s="33" t="s">
        <v>625</v>
      </c>
      <c r="C43" s="22"/>
      <c r="D43" s="22"/>
      <c r="E43" s="22"/>
      <c r="F43" s="43"/>
      <c r="H43" s="17" t="e">
        <f>+D43*#REF!</f>
        <v>#REF!</v>
      </c>
    </row>
    <row r="44" spans="1:8" s="16" customFormat="1" ht="25" x14ac:dyDescent="0.25">
      <c r="A44" s="24" t="s">
        <v>626</v>
      </c>
      <c r="B44" s="28" t="s">
        <v>627</v>
      </c>
      <c r="C44" s="26"/>
      <c r="D44" s="26"/>
      <c r="E44" s="26"/>
      <c r="F44" s="44"/>
      <c r="H44" s="17" t="e">
        <f>+D44*#REF!</f>
        <v>#REF!</v>
      </c>
    </row>
    <row r="45" spans="1:8" s="16" customFormat="1" ht="25" x14ac:dyDescent="0.25">
      <c r="A45" s="24" t="s">
        <v>628</v>
      </c>
      <c r="B45" s="28" t="s">
        <v>629</v>
      </c>
      <c r="C45" s="26"/>
      <c r="D45" s="26"/>
      <c r="E45" s="26"/>
      <c r="F45" s="44"/>
      <c r="H45" s="17" t="e">
        <f>+D45*#REF!</f>
        <v>#REF!</v>
      </c>
    </row>
    <row r="46" spans="1:8" s="16" customFormat="1" x14ac:dyDescent="0.25">
      <c r="A46" s="24" t="s">
        <v>630</v>
      </c>
      <c r="B46" s="28" t="s">
        <v>631</v>
      </c>
      <c r="C46" s="26"/>
      <c r="D46" s="26"/>
      <c r="E46" s="26"/>
      <c r="F46" s="44"/>
      <c r="H46" s="17"/>
    </row>
    <row r="47" spans="1:8" s="16" customFormat="1" ht="25" x14ac:dyDescent="0.25">
      <c r="A47" s="24" t="s">
        <v>632</v>
      </c>
      <c r="B47" s="28" t="s">
        <v>633</v>
      </c>
      <c r="C47" s="26"/>
      <c r="D47" s="26"/>
      <c r="E47" s="26"/>
      <c r="F47" s="44"/>
      <c r="H47" s="17"/>
    </row>
    <row r="48" spans="1:8" s="16" customFormat="1" ht="25" x14ac:dyDescent="0.25">
      <c r="A48" s="24" t="s">
        <v>634</v>
      </c>
      <c r="B48" s="28" t="s">
        <v>635</v>
      </c>
      <c r="C48" s="26"/>
      <c r="D48" s="26"/>
      <c r="E48" s="26"/>
      <c r="F48" s="44"/>
      <c r="H48" s="17" t="e">
        <f>+D48*#REF!</f>
        <v>#REF!</v>
      </c>
    </row>
    <row r="49" spans="1:8" s="16" customFormat="1" ht="37.5" x14ac:dyDescent="0.25">
      <c r="A49" s="24" t="s">
        <v>636</v>
      </c>
      <c r="B49" s="28" t="s">
        <v>637</v>
      </c>
      <c r="C49" s="26"/>
      <c r="D49" s="26"/>
      <c r="E49" s="26"/>
      <c r="F49" s="44"/>
      <c r="H49" s="17" t="e">
        <f>+D49*#REF!</f>
        <v>#REF!</v>
      </c>
    </row>
    <row r="50" spans="1:8" s="16" customFormat="1" ht="37.5" x14ac:dyDescent="0.25">
      <c r="A50" s="24" t="s">
        <v>638</v>
      </c>
      <c r="B50" s="25" t="s">
        <v>639</v>
      </c>
      <c r="C50" s="26"/>
      <c r="D50" s="26"/>
      <c r="E50" s="26"/>
      <c r="F50" s="44"/>
      <c r="H50" s="17" t="e">
        <f>+D50*#REF!</f>
        <v>#REF!</v>
      </c>
    </row>
    <row r="51" spans="1:8" s="16" customFormat="1" ht="25" x14ac:dyDescent="0.25">
      <c r="A51" s="24" t="s">
        <v>640</v>
      </c>
      <c r="B51" s="28" t="s">
        <v>641</v>
      </c>
      <c r="C51" s="26"/>
      <c r="D51" s="26"/>
      <c r="E51" s="26"/>
      <c r="F51" s="44"/>
      <c r="H51" s="17" t="e">
        <f>+D51*#REF!</f>
        <v>#REF!</v>
      </c>
    </row>
    <row r="52" spans="1:8" s="16" customFormat="1" ht="25" x14ac:dyDescent="0.25">
      <c r="A52" s="24" t="s">
        <v>642</v>
      </c>
      <c r="B52" s="45" t="s">
        <v>643</v>
      </c>
      <c r="C52" s="26"/>
      <c r="D52" s="26"/>
      <c r="E52" s="26"/>
      <c r="F52" s="44"/>
      <c r="H52" s="17" t="e">
        <f>+D52*#REF!</f>
        <v>#REF!</v>
      </c>
    </row>
    <row r="53" spans="1:8" s="16" customFormat="1" x14ac:dyDescent="0.25">
      <c r="A53" s="24" t="s">
        <v>644</v>
      </c>
      <c r="B53" s="34" t="s">
        <v>645</v>
      </c>
      <c r="C53" s="26"/>
      <c r="D53" s="26"/>
      <c r="E53" s="26"/>
      <c r="F53" s="44"/>
      <c r="H53" s="17" t="e">
        <f>+D53*#REF!</f>
        <v>#REF!</v>
      </c>
    </row>
    <row r="54" spans="1:8" s="16" customFormat="1" ht="25" x14ac:dyDescent="0.25">
      <c r="A54" s="24" t="s">
        <v>646</v>
      </c>
      <c r="B54" s="34" t="s">
        <v>647</v>
      </c>
      <c r="C54" s="26"/>
      <c r="D54" s="26"/>
      <c r="E54" s="26"/>
      <c r="F54" s="44"/>
      <c r="H54" s="17" t="e">
        <f>+D54*#REF!</f>
        <v>#REF!</v>
      </c>
    </row>
    <row r="55" spans="1:8" s="16" customFormat="1" ht="25" x14ac:dyDescent="0.25">
      <c r="A55" s="24" t="s">
        <v>648</v>
      </c>
      <c r="B55" s="28" t="s">
        <v>649</v>
      </c>
      <c r="C55" s="26"/>
      <c r="D55" s="26"/>
      <c r="E55" s="26"/>
      <c r="F55" s="44"/>
      <c r="H55" s="17" t="e">
        <f>+D55*#REF!</f>
        <v>#REF!</v>
      </c>
    </row>
    <row r="56" spans="1:8" s="16" customFormat="1" x14ac:dyDescent="0.25">
      <c r="A56" s="24" t="s">
        <v>650</v>
      </c>
      <c r="B56" s="25" t="s">
        <v>651</v>
      </c>
      <c r="C56" s="26"/>
      <c r="D56" s="26"/>
      <c r="E56" s="26"/>
      <c r="F56" s="44"/>
      <c r="H56" s="17" t="e">
        <f>+D56*#REF!</f>
        <v>#REF!</v>
      </c>
    </row>
    <row r="57" spans="1:8" ht="25" x14ac:dyDescent="0.25">
      <c r="A57" s="29" t="s">
        <v>652</v>
      </c>
      <c r="B57" s="46" t="s">
        <v>653</v>
      </c>
      <c r="C57" s="30"/>
      <c r="D57" s="31"/>
      <c r="E57" s="31"/>
      <c r="F57" s="32"/>
    </row>
  </sheetData>
  <mergeCells count="7">
    <mergeCell ref="B42:F42"/>
    <mergeCell ref="B3:F3"/>
    <mergeCell ref="B10:F10"/>
    <mergeCell ref="B19:F19"/>
    <mergeCell ref="B26:F26"/>
    <mergeCell ref="B29:F29"/>
    <mergeCell ref="B36:F36"/>
  </mergeCells>
  <phoneticPr fontId="11" type="noConversion"/>
  <pageMargins left="0.74803149606299213" right="0.55118110236220474" top="0.98425196850393704" bottom="0.98425196850393704" header="0.51181102362204722" footer="0.51181102362204722"/>
  <pageSetup paperSize="9" scale="66" fitToHeight="0" orientation="portrait" r:id="rId1"/>
  <headerFooter alignWithMargins="0">
    <oddHeader>&amp;LMicrodata Telecom&amp;R&amp;D</oddHeader>
    <oddFooter>&amp;C_x000D_&amp;1#&amp;"Arial"&amp;9&amp;K000000 Confidential&amp;RPage &amp;P(&amp;N)</oddFooter>
  </headerFooter>
  <rowBreaks count="1" manualBreakCount="1">
    <brk id="35"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2E74-CF94-4DBD-99A5-3E4451C65F46}">
  <sheetPr>
    <pageSetUpPr fitToPage="1"/>
  </sheetPr>
  <dimension ref="A1:N40"/>
  <sheetViews>
    <sheetView showGridLines="0" zoomScale="115" zoomScaleNormal="115" workbookViewId="0">
      <pane ySplit="4" topLeftCell="A5" activePane="bottomLeft" state="frozen"/>
      <selection pane="bottomLeft" activeCell="J15" sqref="J15"/>
    </sheetView>
  </sheetViews>
  <sheetFormatPr defaultColWidth="9.1796875" defaultRowHeight="12.75" customHeight="1" x14ac:dyDescent="0.3"/>
  <cols>
    <col min="1" max="1" width="6.81640625" style="113" customWidth="1"/>
    <col min="2" max="2" width="58.453125" style="116" customWidth="1"/>
    <col min="3" max="3" width="12.54296875" style="117" customWidth="1"/>
    <col min="4" max="4" width="21.6328125" style="117" customWidth="1"/>
    <col min="5" max="5" width="13.453125" style="117" customWidth="1"/>
    <col min="6" max="6" width="19.453125" style="117" customWidth="1"/>
    <col min="7" max="7" width="29.1796875" style="111" hidden="1" customWidth="1"/>
    <col min="8" max="9" width="0" style="111" hidden="1" customWidth="1"/>
    <col min="10" max="10" width="12.54296875" style="111" customWidth="1"/>
    <col min="11" max="16384" width="9.1796875" style="111"/>
  </cols>
  <sheetData>
    <row r="1" spans="1:14" customFormat="1" ht="20.149999999999999" customHeight="1" x14ac:dyDescent="0.25">
      <c r="A1" s="203" t="str">
        <f>'1. Generellt'!A1</f>
        <v>Ekonomisystem, UPP-2025/047</v>
      </c>
      <c r="B1" s="203"/>
      <c r="C1" s="166" t="s">
        <v>1</v>
      </c>
      <c r="D1" s="260">
        <f>Information!D1</f>
        <v>0</v>
      </c>
      <c r="E1" s="166"/>
      <c r="F1" s="166"/>
      <c r="G1" s="136"/>
      <c r="H1" s="136"/>
      <c r="I1" s="136"/>
      <c r="J1" s="136"/>
      <c r="K1" s="136"/>
      <c r="L1" s="136"/>
      <c r="M1" s="136"/>
      <c r="N1" s="136"/>
    </row>
    <row r="2" spans="1:14" customFormat="1" ht="22.5" customHeight="1" x14ac:dyDescent="0.25"/>
    <row r="3" spans="1:14" customFormat="1" ht="29" x14ac:dyDescent="0.25">
      <c r="A3" s="213">
        <v>4</v>
      </c>
      <c r="B3" s="213" t="s">
        <v>654</v>
      </c>
      <c r="C3" s="214" t="s">
        <v>14</v>
      </c>
      <c r="D3" s="214" t="s">
        <v>15</v>
      </c>
      <c r="E3" s="213" t="s">
        <v>16</v>
      </c>
      <c r="F3" s="214" t="s">
        <v>17</v>
      </c>
    </row>
    <row r="4" spans="1:14" s="218" customFormat="1" ht="18.5" x14ac:dyDescent="0.35">
      <c r="A4" s="215" t="s">
        <v>20</v>
      </c>
      <c r="B4" s="215" t="s">
        <v>21</v>
      </c>
      <c r="C4" s="216"/>
      <c r="D4" s="216"/>
      <c r="E4" s="216"/>
      <c r="F4" s="216"/>
    </row>
    <row r="5" spans="1:14" s="100" customFormat="1" ht="14.5" x14ac:dyDescent="0.25">
      <c r="A5" s="213" t="s">
        <v>655</v>
      </c>
      <c r="B5" s="213" t="s">
        <v>23</v>
      </c>
      <c r="C5" s="214"/>
      <c r="D5" s="214"/>
      <c r="E5" s="214"/>
      <c r="F5" s="214"/>
    </row>
    <row r="6" spans="1:14" s="119" customFormat="1" ht="28" customHeight="1" x14ac:dyDescent="0.25">
      <c r="A6" s="133" t="s">
        <v>656</v>
      </c>
      <c r="B6" s="233" t="s">
        <v>657</v>
      </c>
      <c r="C6" s="157" t="s">
        <v>27</v>
      </c>
      <c r="D6" s="137"/>
      <c r="E6" s="137"/>
      <c r="F6" s="137"/>
    </row>
    <row r="7" spans="1:14" s="119" customFormat="1" ht="27" customHeight="1" x14ac:dyDescent="0.25">
      <c r="A7" s="133" t="s">
        <v>658</v>
      </c>
      <c r="B7" s="233" t="s">
        <v>659</v>
      </c>
      <c r="C7" s="157" t="s">
        <v>27</v>
      </c>
      <c r="D7" s="137"/>
      <c r="E7" s="137"/>
      <c r="F7" s="137"/>
      <c r="J7" s="245"/>
    </row>
    <row r="8" spans="1:14" s="119" customFormat="1" ht="17.25" customHeight="1" x14ac:dyDescent="0.25">
      <c r="A8" s="133" t="s">
        <v>660</v>
      </c>
      <c r="B8" s="233" t="s">
        <v>661</v>
      </c>
      <c r="C8" s="157" t="s">
        <v>27</v>
      </c>
      <c r="D8" s="137"/>
      <c r="E8" s="137"/>
      <c r="F8" s="137"/>
    </row>
    <row r="9" spans="1:14" s="119" customFormat="1" ht="19.5" customHeight="1" x14ac:dyDescent="0.25">
      <c r="A9" s="133" t="s">
        <v>662</v>
      </c>
      <c r="B9" s="233" t="s">
        <v>663</v>
      </c>
      <c r="C9" s="157" t="s">
        <v>27</v>
      </c>
      <c r="D9" s="137"/>
      <c r="E9" s="137"/>
      <c r="F9" s="137"/>
    </row>
    <row r="10" spans="1:14" s="119" customFormat="1" ht="33" customHeight="1" x14ac:dyDescent="0.25">
      <c r="A10" s="133" t="s">
        <v>664</v>
      </c>
      <c r="B10" s="233" t="s">
        <v>665</v>
      </c>
      <c r="C10" s="157" t="s">
        <v>27</v>
      </c>
      <c r="D10" s="137"/>
      <c r="E10" s="137"/>
      <c r="F10" s="137"/>
    </row>
    <row r="11" spans="1:14" s="119" customFormat="1" ht="40.5" customHeight="1" x14ac:dyDescent="0.25">
      <c r="A11" s="133" t="s">
        <v>666</v>
      </c>
      <c r="B11" s="233" t="s">
        <v>667</v>
      </c>
      <c r="C11" s="157" t="s">
        <v>27</v>
      </c>
      <c r="D11" s="137"/>
      <c r="E11" s="137"/>
      <c r="F11" s="137"/>
    </row>
    <row r="12" spans="1:14" s="119" customFormat="1" ht="26" x14ac:dyDescent="0.25">
      <c r="A12" s="133" t="s">
        <v>668</v>
      </c>
      <c r="B12" s="233" t="s">
        <v>669</v>
      </c>
      <c r="C12" s="157" t="s">
        <v>27</v>
      </c>
      <c r="D12" s="137"/>
      <c r="E12" s="137"/>
      <c r="F12" s="137"/>
    </row>
    <row r="13" spans="1:14" s="119" customFormat="1" ht="32.25" customHeight="1" x14ac:dyDescent="0.25">
      <c r="A13" s="133" t="s">
        <v>670</v>
      </c>
      <c r="B13" s="233" t="s">
        <v>671</v>
      </c>
      <c r="C13" s="157" t="s">
        <v>27</v>
      </c>
      <c r="D13" s="137"/>
      <c r="E13" s="137"/>
      <c r="F13" s="137"/>
    </row>
    <row r="14" spans="1:14" s="120" customFormat="1" ht="23.5" customHeight="1" x14ac:dyDescent="0.25">
      <c r="A14" s="133" t="s">
        <v>672</v>
      </c>
      <c r="B14" s="233" t="s">
        <v>673</v>
      </c>
      <c r="C14" s="157" t="s">
        <v>27</v>
      </c>
      <c r="D14" s="240"/>
      <c r="E14" s="240"/>
      <c r="F14" s="240"/>
      <c r="J14" s="303"/>
    </row>
    <row r="15" spans="1:14" s="100" customFormat="1" ht="14.5" x14ac:dyDescent="0.25">
      <c r="A15" s="213" t="s">
        <v>674</v>
      </c>
      <c r="B15" s="213" t="s">
        <v>675</v>
      </c>
      <c r="C15" s="214"/>
      <c r="D15" s="214"/>
      <c r="E15" s="214"/>
      <c r="F15" s="214"/>
    </row>
    <row r="16" spans="1:14" s="120" customFormat="1" ht="13" x14ac:dyDescent="0.25">
      <c r="A16" s="133" t="s">
        <v>676</v>
      </c>
      <c r="B16" s="233" t="s">
        <v>677</v>
      </c>
      <c r="C16" s="157" t="s">
        <v>27</v>
      </c>
      <c r="D16" s="240"/>
      <c r="E16" s="240"/>
      <c r="F16" s="240"/>
    </row>
    <row r="17" spans="1:6" s="120" customFormat="1" ht="33" customHeight="1" x14ac:dyDescent="0.25">
      <c r="A17" s="133" t="s">
        <v>678</v>
      </c>
      <c r="B17" s="233" t="s">
        <v>679</v>
      </c>
      <c r="C17" s="157" t="s">
        <v>27</v>
      </c>
      <c r="D17" s="240"/>
      <c r="E17" s="240"/>
      <c r="F17" s="240"/>
    </row>
    <row r="18" spans="1:6" s="120" customFormat="1" ht="26" x14ac:dyDescent="0.25">
      <c r="A18" s="133" t="s">
        <v>680</v>
      </c>
      <c r="B18" s="233" t="s">
        <v>681</v>
      </c>
      <c r="C18" s="157" t="s">
        <v>27</v>
      </c>
      <c r="D18" s="240"/>
      <c r="E18" s="240"/>
      <c r="F18" s="240"/>
    </row>
    <row r="19" spans="1:6" s="120" customFormat="1" ht="39" x14ac:dyDescent="0.25">
      <c r="A19" s="133" t="s">
        <v>682</v>
      </c>
      <c r="B19" s="233" t="s">
        <v>683</v>
      </c>
      <c r="C19" s="157" t="s">
        <v>27</v>
      </c>
      <c r="D19" s="240"/>
      <c r="E19" s="240"/>
      <c r="F19" s="240"/>
    </row>
    <row r="20" spans="1:6" s="120" customFormat="1" ht="36" customHeight="1" x14ac:dyDescent="0.25">
      <c r="A20" s="133" t="s">
        <v>684</v>
      </c>
      <c r="B20" s="233" t="s">
        <v>685</v>
      </c>
      <c r="C20" s="157" t="s">
        <v>27</v>
      </c>
      <c r="D20" s="240"/>
      <c r="E20" s="240"/>
      <c r="F20" s="240"/>
    </row>
    <row r="21" spans="1:6" s="120" customFormat="1" ht="63.75" customHeight="1" x14ac:dyDescent="0.25">
      <c r="A21" s="133" t="s">
        <v>686</v>
      </c>
      <c r="B21" s="233" t="s">
        <v>687</v>
      </c>
      <c r="C21" s="157" t="s">
        <v>27</v>
      </c>
      <c r="D21" s="240"/>
      <c r="E21" s="240"/>
      <c r="F21" s="240"/>
    </row>
    <row r="22" spans="1:6" s="100" customFormat="1" ht="14.5" x14ac:dyDescent="0.25">
      <c r="A22" s="213" t="s">
        <v>688</v>
      </c>
      <c r="B22" s="213" t="s">
        <v>110</v>
      </c>
      <c r="C22" s="214"/>
      <c r="D22" s="214"/>
      <c r="E22" s="214"/>
      <c r="F22" s="214"/>
    </row>
    <row r="23" spans="1:6" s="119" customFormat="1" ht="21" customHeight="1" x14ac:dyDescent="0.25">
      <c r="A23" s="134" t="s">
        <v>689</v>
      </c>
      <c r="B23" s="239" t="s">
        <v>460</v>
      </c>
      <c r="C23" s="157" t="s">
        <v>27</v>
      </c>
      <c r="D23" s="137"/>
      <c r="E23" s="137"/>
      <c r="F23" s="137"/>
    </row>
    <row r="24" spans="1:6" s="119" customFormat="1" ht="26" x14ac:dyDescent="0.25">
      <c r="A24" s="133" t="s">
        <v>690</v>
      </c>
      <c r="B24" s="233" t="s">
        <v>691</v>
      </c>
      <c r="C24" s="157" t="s">
        <v>27</v>
      </c>
      <c r="D24" s="137"/>
      <c r="E24" s="137"/>
      <c r="F24" s="137"/>
    </row>
    <row r="25" spans="1:6" s="119" customFormat="1" ht="21.75" customHeight="1" x14ac:dyDescent="0.25">
      <c r="A25" s="134" t="s">
        <v>692</v>
      </c>
      <c r="B25" s="233" t="s">
        <v>693</v>
      </c>
      <c r="C25" s="157" t="s">
        <v>27</v>
      </c>
      <c r="D25" s="137"/>
      <c r="E25" s="137"/>
      <c r="F25" s="137"/>
    </row>
    <row r="26" spans="1:6" s="120" customFormat="1" ht="26" x14ac:dyDescent="0.25">
      <c r="A26" s="241" t="s">
        <v>694</v>
      </c>
      <c r="B26" s="242" t="s">
        <v>695</v>
      </c>
      <c r="C26" s="157" t="s">
        <v>27</v>
      </c>
      <c r="D26" s="137"/>
      <c r="E26" s="137"/>
      <c r="F26" s="137"/>
    </row>
    <row r="27" spans="1:6" s="100" customFormat="1" ht="14.5" x14ac:dyDescent="0.25">
      <c r="A27" s="213" t="s">
        <v>696</v>
      </c>
      <c r="B27" s="213" t="s">
        <v>697</v>
      </c>
      <c r="C27" s="214"/>
      <c r="D27" s="214"/>
      <c r="E27" s="214"/>
      <c r="F27" s="214"/>
    </row>
    <row r="28" spans="1:6" s="119" customFormat="1" ht="39" x14ac:dyDescent="0.25">
      <c r="A28" s="243" t="s">
        <v>698</v>
      </c>
      <c r="B28" s="244" t="s">
        <v>699</v>
      </c>
      <c r="C28" s="157" t="s">
        <v>27</v>
      </c>
      <c r="D28" s="137"/>
      <c r="E28" s="137"/>
      <c r="F28" s="137"/>
    </row>
    <row r="29" spans="1:6" s="119" customFormat="1" ht="42" customHeight="1" x14ac:dyDescent="0.25">
      <c r="A29" s="243" t="s">
        <v>701</v>
      </c>
      <c r="B29" s="244" t="s">
        <v>700</v>
      </c>
      <c r="C29" s="157" t="s">
        <v>27</v>
      </c>
      <c r="D29" s="137"/>
      <c r="E29" s="137"/>
      <c r="F29" s="137"/>
    </row>
    <row r="30" spans="1:6" s="119" customFormat="1" ht="42" customHeight="1" x14ac:dyDescent="0.25">
      <c r="A30" s="243" t="s">
        <v>703</v>
      </c>
      <c r="B30" s="244" t="s">
        <v>702</v>
      </c>
      <c r="C30" s="157" t="s">
        <v>27</v>
      </c>
      <c r="D30" s="137"/>
      <c r="E30" s="137"/>
      <c r="F30" s="137"/>
    </row>
    <row r="31" spans="1:6" s="119" customFormat="1" ht="13" x14ac:dyDescent="0.25">
      <c r="A31" s="243" t="s">
        <v>705</v>
      </c>
      <c r="B31" s="244" t="s">
        <v>704</v>
      </c>
      <c r="C31" s="157" t="s">
        <v>27</v>
      </c>
      <c r="D31" s="137"/>
      <c r="E31" s="137"/>
      <c r="F31" s="137"/>
    </row>
    <row r="32" spans="1:6" s="119" customFormat="1" ht="26" x14ac:dyDescent="0.25">
      <c r="A32" s="243" t="s">
        <v>707</v>
      </c>
      <c r="B32" s="231" t="s">
        <v>706</v>
      </c>
      <c r="C32" s="157" t="s">
        <v>27</v>
      </c>
      <c r="D32" s="137"/>
      <c r="E32" s="137"/>
      <c r="F32" s="137"/>
    </row>
    <row r="33" spans="1:10" s="245" customFormat="1" ht="39" x14ac:dyDescent="0.25">
      <c r="A33" s="243" t="s">
        <v>709</v>
      </c>
      <c r="B33" s="233" t="s">
        <v>708</v>
      </c>
      <c r="C33" s="157" t="s">
        <v>27</v>
      </c>
      <c r="D33" s="137"/>
      <c r="E33" s="137"/>
      <c r="F33" s="137"/>
    </row>
    <row r="34" spans="1:10" s="245" customFormat="1" ht="26" x14ac:dyDescent="0.25">
      <c r="A34" s="243" t="s">
        <v>711</v>
      </c>
      <c r="B34" s="233" t="s">
        <v>710</v>
      </c>
      <c r="C34" s="157" t="s">
        <v>27</v>
      </c>
      <c r="D34" s="137"/>
      <c r="E34" s="137"/>
      <c r="F34" s="137"/>
    </row>
    <row r="35" spans="1:10" s="245" customFormat="1" ht="40.5" customHeight="1" x14ac:dyDescent="0.25">
      <c r="A35" s="243" t="s">
        <v>714</v>
      </c>
      <c r="B35" s="233" t="s">
        <v>712</v>
      </c>
      <c r="C35" s="157" t="s">
        <v>27</v>
      </c>
      <c r="D35" s="137"/>
      <c r="E35" s="137"/>
      <c r="F35" s="137"/>
    </row>
    <row r="36" spans="1:10" s="245" customFormat="1" ht="40.5" customHeight="1" x14ac:dyDescent="0.25">
      <c r="A36" s="243" t="s">
        <v>717</v>
      </c>
      <c r="B36" s="233" t="s">
        <v>713</v>
      </c>
      <c r="C36" s="157" t="s">
        <v>27</v>
      </c>
      <c r="D36" s="137"/>
      <c r="E36" s="137"/>
      <c r="F36" s="137"/>
      <c r="J36" s="119"/>
    </row>
    <row r="37" spans="1:10" s="245" customFormat="1" ht="26" x14ac:dyDescent="0.25">
      <c r="A37" s="243" t="s">
        <v>1180</v>
      </c>
      <c r="B37" s="233" t="s">
        <v>715</v>
      </c>
      <c r="C37" s="157" t="s">
        <v>27</v>
      </c>
      <c r="D37" s="137"/>
      <c r="E37" s="137"/>
      <c r="F37" s="137"/>
      <c r="I37" s="245" t="s">
        <v>19</v>
      </c>
    </row>
    <row r="38" spans="1:10" s="245" customFormat="1" ht="33" customHeight="1" x14ac:dyDescent="0.25">
      <c r="A38" s="243" t="s">
        <v>1181</v>
      </c>
      <c r="B38" s="311" t="s">
        <v>716</v>
      </c>
      <c r="C38" s="137" t="s">
        <v>82</v>
      </c>
      <c r="D38" s="246"/>
      <c r="E38" s="137">
        <f>IF(D38="ja", 3, 0)</f>
        <v>0</v>
      </c>
      <c r="F38" s="294">
        <f>(Jämförelsesumma!$E$6/Jämförelsesumma!$F$6)*E38</f>
        <v>0</v>
      </c>
    </row>
    <row r="39" spans="1:10" s="245" customFormat="1" ht="54" customHeight="1" x14ac:dyDescent="0.25">
      <c r="A39" s="243" t="s">
        <v>1182</v>
      </c>
      <c r="B39" s="233" t="s">
        <v>718</v>
      </c>
      <c r="C39" s="137" t="s">
        <v>82</v>
      </c>
      <c r="D39" s="246"/>
      <c r="E39" s="137">
        <f>IF(D39="ja", 3, 0)</f>
        <v>0</v>
      </c>
      <c r="F39" s="294">
        <f>(Jämförelsesumma!$E$6/Jämförelsesumma!$F$6)*E39</f>
        <v>0</v>
      </c>
      <c r="I39" s="245" t="s">
        <v>18</v>
      </c>
    </row>
    <row r="40" spans="1:10" ht="12.75" customHeight="1" x14ac:dyDescent="0.3">
      <c r="D40" s="276" t="s">
        <v>170</v>
      </c>
      <c r="E40" s="115">
        <f>SUM(E6:E39)</f>
        <v>0</v>
      </c>
      <c r="F40" s="115"/>
    </row>
  </sheetData>
  <autoFilter ref="A3:N40" xr:uid="{B2232E74-CF94-4DBD-99A5-3E4451C65F46}"/>
  <phoneticPr fontId="9" type="noConversion"/>
  <dataValidations count="1">
    <dataValidation type="list" allowBlank="1" showInputMessage="1" showErrorMessage="1" sqref="D38:D39" xr:uid="{BDDB57DE-A2C4-4C13-B42A-4CA95B8737C3}">
      <formula1>$I$37:$I$39</formula1>
    </dataValidation>
  </dataValidations>
  <pageMargins left="0.74803149606299213" right="0.55118110236220474" top="0.98425196850393704" bottom="0.98425196850393704" header="0.51181102362204722" footer="0.51181102362204722"/>
  <pageSetup paperSize="9" fitToHeight="0" orientation="landscape" r:id="rId1"/>
  <headerFooter alignWithMargins="0">
    <oddFooter>&amp;C_x000D_&amp;1#&amp;"Arial"&amp;9&amp;K000000 Confidential&amp;RPage &amp;P(&amp;N)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6E38-197E-4B5A-B337-DBF7A9664975}">
  <sheetPr>
    <pageSetUpPr fitToPage="1"/>
  </sheetPr>
  <dimension ref="A1:K33"/>
  <sheetViews>
    <sheetView showGridLines="0" zoomScale="130" zoomScaleNormal="130" workbookViewId="0">
      <pane ySplit="4" topLeftCell="A5" activePane="bottomLeft" state="frozen"/>
      <selection pane="bottomLeft" activeCell="B8" sqref="B8"/>
    </sheetView>
  </sheetViews>
  <sheetFormatPr defaultColWidth="9.1796875" defaultRowHeight="12.75" customHeight="1" x14ac:dyDescent="0.3"/>
  <cols>
    <col min="1" max="1" width="6.81640625" style="113" customWidth="1"/>
    <col min="2" max="2" width="70.81640625" style="114" customWidth="1"/>
    <col min="3" max="3" width="18.453125" style="115" customWidth="1"/>
    <col min="4" max="16384" width="9.1796875" style="111"/>
  </cols>
  <sheetData>
    <row r="1" spans="1:11" customFormat="1" ht="20.149999999999999" customHeight="1" x14ac:dyDescent="0.25">
      <c r="A1" s="203" t="str">
        <f>'1. Generellt'!A1</f>
        <v>Ekonomisystem, UPP-2025/047</v>
      </c>
      <c r="B1" s="203"/>
      <c r="C1" s="166" t="s">
        <v>1</v>
      </c>
      <c r="D1" s="247">
        <f>Information!D1</f>
        <v>0</v>
      </c>
      <c r="E1" s="136"/>
      <c r="F1" s="136"/>
      <c r="G1" s="136"/>
      <c r="H1" s="136"/>
      <c r="I1" s="136"/>
      <c r="J1" s="136"/>
      <c r="K1" s="136"/>
    </row>
    <row r="2" spans="1:11" customFormat="1" ht="22.5" customHeight="1" x14ac:dyDescent="0.25"/>
    <row r="3" spans="1:11" customFormat="1" ht="16.5" customHeight="1" x14ac:dyDescent="0.25">
      <c r="A3" s="213">
        <v>5</v>
      </c>
      <c r="B3" s="213" t="s">
        <v>719</v>
      </c>
      <c r="C3" s="214" t="s">
        <v>14</v>
      </c>
    </row>
    <row r="4" spans="1:11" s="218" customFormat="1" ht="18.5" x14ac:dyDescent="0.35">
      <c r="A4" s="215" t="s">
        <v>20</v>
      </c>
      <c r="B4" s="215" t="s">
        <v>21</v>
      </c>
      <c r="C4" s="216"/>
    </row>
    <row r="5" spans="1:11" s="100" customFormat="1" ht="14.5" x14ac:dyDescent="0.25">
      <c r="A5" s="213" t="s">
        <v>720</v>
      </c>
      <c r="B5" s="213" t="s">
        <v>23</v>
      </c>
      <c r="C5" s="214"/>
    </row>
    <row r="6" spans="1:11" s="119" customFormat="1" ht="37.5" customHeight="1" x14ac:dyDescent="0.25">
      <c r="A6" s="133" t="s">
        <v>721</v>
      </c>
      <c r="B6" s="229" t="s">
        <v>722</v>
      </c>
      <c r="C6" s="157" t="s">
        <v>27</v>
      </c>
    </row>
    <row r="7" spans="1:11" s="120" customFormat="1" ht="31" customHeight="1" x14ac:dyDescent="0.25">
      <c r="A7" s="133" t="s">
        <v>723</v>
      </c>
      <c r="B7" s="249" t="s">
        <v>724</v>
      </c>
      <c r="C7" s="157" t="s">
        <v>27</v>
      </c>
    </row>
    <row r="8" spans="1:11" s="120" customFormat="1" ht="36" customHeight="1" x14ac:dyDescent="0.25">
      <c r="A8" s="133" t="s">
        <v>725</v>
      </c>
      <c r="B8" s="250" t="s">
        <v>726</v>
      </c>
      <c r="C8" s="157" t="s">
        <v>27</v>
      </c>
    </row>
    <row r="9" spans="1:11" s="119" customFormat="1" ht="44.5" customHeight="1" x14ac:dyDescent="0.25">
      <c r="A9" s="133" t="s">
        <v>727</v>
      </c>
      <c r="B9" s="231" t="s">
        <v>728</v>
      </c>
      <c r="C9" s="157" t="s">
        <v>27</v>
      </c>
      <c r="D9" s="251"/>
    </row>
    <row r="10" spans="1:11" s="119" customFormat="1" ht="52" customHeight="1" x14ac:dyDescent="0.25">
      <c r="A10" s="133" t="s">
        <v>729</v>
      </c>
      <c r="B10" s="252" t="s">
        <v>730</v>
      </c>
      <c r="C10" s="157" t="s">
        <v>27</v>
      </c>
      <c r="D10" s="251"/>
    </row>
    <row r="11" spans="1:11" s="119" customFormat="1" ht="32.25" customHeight="1" x14ac:dyDescent="0.25">
      <c r="A11" s="133" t="s">
        <v>731</v>
      </c>
      <c r="B11" s="252" t="s">
        <v>732</v>
      </c>
      <c r="C11" s="157" t="s">
        <v>27</v>
      </c>
      <c r="D11" s="251"/>
    </row>
    <row r="12" spans="1:11" s="118" customFormat="1" ht="18.75" customHeight="1" x14ac:dyDescent="0.3">
      <c r="A12" s="133" t="s">
        <v>733</v>
      </c>
      <c r="B12" s="252" t="s">
        <v>734</v>
      </c>
      <c r="C12" s="157" t="s">
        <v>27</v>
      </c>
    </row>
    <row r="13" spans="1:11" s="118" customFormat="1" ht="28.5" customHeight="1" x14ac:dyDescent="0.3">
      <c r="A13" s="133" t="s">
        <v>735</v>
      </c>
      <c r="B13" s="252" t="s">
        <v>736</v>
      </c>
      <c r="C13" s="157" t="s">
        <v>27</v>
      </c>
      <c r="D13" s="304"/>
    </row>
    <row r="14" spans="1:11" s="118" customFormat="1" ht="33" customHeight="1" x14ac:dyDescent="0.3">
      <c r="A14" s="133" t="s">
        <v>737</v>
      </c>
      <c r="B14" s="252" t="s">
        <v>738</v>
      </c>
      <c r="C14" s="157" t="s">
        <v>27</v>
      </c>
    </row>
    <row r="15" spans="1:11" s="118" customFormat="1" ht="31.5" customHeight="1" x14ac:dyDescent="0.3">
      <c r="A15" s="133" t="s">
        <v>739</v>
      </c>
      <c r="B15" s="252" t="s">
        <v>740</v>
      </c>
      <c r="C15" s="157" t="s">
        <v>27</v>
      </c>
    </row>
    <row r="16" spans="1:11" s="118" customFormat="1" ht="31.5" customHeight="1" x14ac:dyDescent="0.3">
      <c r="A16" s="133" t="s">
        <v>741</v>
      </c>
      <c r="B16" s="252" t="s">
        <v>742</v>
      </c>
      <c r="C16" s="157" t="s">
        <v>27</v>
      </c>
    </row>
    <row r="17" spans="1:3" s="118" customFormat="1" ht="31.5" customHeight="1" x14ac:dyDescent="0.3">
      <c r="A17" s="133" t="s">
        <v>1215</v>
      </c>
      <c r="B17" s="355" t="s">
        <v>1214</v>
      </c>
      <c r="C17" s="157"/>
    </row>
    <row r="18" spans="1:3" s="100" customFormat="1" ht="14.5" x14ac:dyDescent="0.25">
      <c r="A18" s="213" t="s">
        <v>743</v>
      </c>
      <c r="B18" s="213" t="s">
        <v>744</v>
      </c>
      <c r="C18" s="214"/>
    </row>
    <row r="19" spans="1:3" s="118" customFormat="1" ht="33.75" customHeight="1" x14ac:dyDescent="0.3">
      <c r="A19" s="253" t="s">
        <v>745</v>
      </c>
      <c r="B19" s="254" t="s">
        <v>746</v>
      </c>
      <c r="C19" s="157" t="s">
        <v>27</v>
      </c>
    </row>
    <row r="20" spans="1:3" s="118" customFormat="1" ht="32.25" customHeight="1" x14ac:dyDescent="0.3">
      <c r="A20" s="253" t="s">
        <v>747</v>
      </c>
      <c r="B20" s="249" t="s">
        <v>748</v>
      </c>
      <c r="C20" s="157" t="s">
        <v>27</v>
      </c>
    </row>
    <row r="21" spans="1:3" s="118" customFormat="1" ht="30.75" customHeight="1" x14ac:dyDescent="0.3">
      <c r="A21" s="253" t="s">
        <v>749</v>
      </c>
      <c r="B21" s="249" t="s">
        <v>750</v>
      </c>
      <c r="C21" s="157" t="s">
        <v>27</v>
      </c>
    </row>
    <row r="22" spans="1:3" s="118" customFormat="1" ht="39" customHeight="1" x14ac:dyDescent="0.3">
      <c r="A22" s="253" t="s">
        <v>751</v>
      </c>
      <c r="B22" s="249" t="s">
        <v>752</v>
      </c>
      <c r="C22" s="157" t="s">
        <v>27</v>
      </c>
    </row>
    <row r="23" spans="1:3" s="118" customFormat="1" ht="36" customHeight="1" x14ac:dyDescent="0.3">
      <c r="A23" s="253" t="s">
        <v>753</v>
      </c>
      <c r="B23" s="249" t="s">
        <v>754</v>
      </c>
      <c r="C23" s="157" t="s">
        <v>27</v>
      </c>
    </row>
    <row r="24" spans="1:3" s="118" customFormat="1" ht="16.5" customHeight="1" x14ac:dyDescent="0.3">
      <c r="A24" s="253" t="s">
        <v>755</v>
      </c>
      <c r="B24" s="249" t="s">
        <v>756</v>
      </c>
      <c r="C24" s="157" t="s">
        <v>27</v>
      </c>
    </row>
    <row r="25" spans="1:3" s="118" customFormat="1" ht="30.75" customHeight="1" x14ac:dyDescent="0.3">
      <c r="A25" s="253" t="s">
        <v>757</v>
      </c>
      <c r="B25" s="255" t="s">
        <v>758</v>
      </c>
      <c r="C25" s="157" t="s">
        <v>27</v>
      </c>
    </row>
    <row r="26" spans="1:3" s="118" customFormat="1" ht="13" x14ac:dyDescent="0.3">
      <c r="A26" s="133" t="s">
        <v>759</v>
      </c>
      <c r="B26" s="256" t="s">
        <v>760</v>
      </c>
      <c r="C26" s="157" t="s">
        <v>27</v>
      </c>
    </row>
    <row r="27" spans="1:3" s="118" customFormat="1" ht="29.5" customHeight="1" x14ac:dyDescent="0.3">
      <c r="A27" s="253" t="s">
        <v>1183</v>
      </c>
      <c r="B27" s="249" t="s">
        <v>765</v>
      </c>
      <c r="C27" s="157" t="s">
        <v>27</v>
      </c>
    </row>
    <row r="28" spans="1:3" s="118" customFormat="1" ht="29.5" customHeight="1" x14ac:dyDescent="0.3">
      <c r="A28" s="241" t="s">
        <v>1212</v>
      </c>
      <c r="B28" s="250" t="s">
        <v>1213</v>
      </c>
      <c r="C28" s="157" t="s">
        <v>27</v>
      </c>
    </row>
    <row r="29" spans="1:3" s="100" customFormat="1" ht="14.5" x14ac:dyDescent="0.25">
      <c r="A29" s="213" t="s">
        <v>761</v>
      </c>
      <c r="B29" s="213" t="s">
        <v>110</v>
      </c>
      <c r="C29" s="214"/>
    </row>
    <row r="30" spans="1:3" s="118" customFormat="1" ht="30.75" customHeight="1" x14ac:dyDescent="0.3">
      <c r="A30" s="253" t="s">
        <v>762</v>
      </c>
      <c r="B30" s="254" t="s">
        <v>763</v>
      </c>
      <c r="C30" s="157" t="s">
        <v>27</v>
      </c>
    </row>
    <row r="31" spans="1:3" s="118" customFormat="1" ht="32.25" customHeight="1" x14ac:dyDescent="0.3">
      <c r="A31" s="253" t="s">
        <v>764</v>
      </c>
      <c r="B31" s="249" t="s">
        <v>767</v>
      </c>
      <c r="C31" s="157" t="s">
        <v>27</v>
      </c>
    </row>
    <row r="32" spans="1:3" s="118" customFormat="1" ht="57" customHeight="1" x14ac:dyDescent="0.3">
      <c r="A32" s="253" t="s">
        <v>766</v>
      </c>
      <c r="B32" s="249" t="s">
        <v>769</v>
      </c>
      <c r="C32" s="157" t="s">
        <v>27</v>
      </c>
    </row>
    <row r="33" spans="1:3" s="118" customFormat="1" ht="32.25" customHeight="1" x14ac:dyDescent="0.3">
      <c r="A33" s="253" t="s">
        <v>768</v>
      </c>
      <c r="B33" s="249" t="s">
        <v>770</v>
      </c>
      <c r="C33" s="157" t="s">
        <v>27</v>
      </c>
    </row>
  </sheetData>
  <phoneticPr fontId="14" type="noConversion"/>
  <pageMargins left="0.74803149606299213" right="0.55118110236220474" top="0.98425196850393704" bottom="0.98425196850393704" header="0.51181102362204722" footer="0.51181102362204722"/>
  <pageSetup paperSize="9" fitToHeight="0" orientation="landscape" r:id="rId1"/>
  <headerFooter alignWithMargins="0">
    <oddFooter>&amp;C_x000D_&amp;1#&amp;"Arial"&amp;9&amp;K000000 Confidential&amp;RPage &amp;P(&amp;N)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60BA-92ED-4617-A923-21595DBCB6F2}">
  <dimension ref="A1:M16"/>
  <sheetViews>
    <sheetView zoomScale="130" zoomScaleNormal="130" workbookViewId="0">
      <selection activeCell="B21" sqref="B21"/>
    </sheetView>
  </sheetViews>
  <sheetFormatPr defaultColWidth="11.453125" defaultRowHeight="12.75" customHeight="1" x14ac:dyDescent="0.25"/>
  <cols>
    <col min="2" max="2" width="62" customWidth="1"/>
    <col min="3" max="3" width="19.453125" customWidth="1"/>
  </cols>
  <sheetData>
    <row r="1" spans="1:13" ht="20.149999999999999" customHeight="1" x14ac:dyDescent="0.25">
      <c r="A1" s="203" t="str">
        <f>'1. Generellt'!A1</f>
        <v>Ekonomisystem, UPP-2025/047</v>
      </c>
      <c r="B1" s="203"/>
      <c r="C1" s="166" t="s">
        <v>1</v>
      </c>
      <c r="D1" s="221">
        <f>Information!D1</f>
        <v>0</v>
      </c>
      <c r="E1" s="136"/>
      <c r="F1" s="136"/>
      <c r="G1" s="136"/>
      <c r="H1" s="136"/>
      <c r="I1" s="136"/>
      <c r="J1" s="136"/>
      <c r="K1" s="136"/>
      <c r="L1" s="136"/>
      <c r="M1" s="136"/>
    </row>
    <row r="2" spans="1:13" ht="22.5" customHeight="1" x14ac:dyDescent="0.25"/>
    <row r="3" spans="1:13" ht="16.5" customHeight="1" x14ac:dyDescent="0.25">
      <c r="A3" s="213">
        <v>6</v>
      </c>
      <c r="B3" s="213" t="s">
        <v>771</v>
      </c>
      <c r="C3" s="214" t="s">
        <v>136</v>
      </c>
    </row>
    <row r="4" spans="1:13" s="218" customFormat="1" ht="18.5" x14ac:dyDescent="0.35">
      <c r="A4" s="215" t="s">
        <v>20</v>
      </c>
      <c r="B4" s="215" t="s">
        <v>21</v>
      </c>
      <c r="C4" s="214" t="s">
        <v>14</v>
      </c>
    </row>
    <row r="5" spans="1:13" s="100" customFormat="1" ht="14.5" x14ac:dyDescent="0.25">
      <c r="A5" s="213" t="s">
        <v>772</v>
      </c>
      <c r="B5" s="213" t="s">
        <v>773</v>
      </c>
      <c r="C5" s="214"/>
    </row>
    <row r="6" spans="1:13" s="119" customFormat="1" ht="13" x14ac:dyDescent="0.25">
      <c r="A6" s="133" t="s">
        <v>774</v>
      </c>
      <c r="B6" s="229" t="s">
        <v>1216</v>
      </c>
      <c r="C6" s="157" t="s">
        <v>27</v>
      </c>
    </row>
    <row r="7" spans="1:13" s="119" customFormat="1" ht="13" x14ac:dyDescent="0.25">
      <c r="A7" s="133" t="s">
        <v>776</v>
      </c>
      <c r="B7" s="229" t="s">
        <v>775</v>
      </c>
      <c r="C7" s="157" t="s">
        <v>27</v>
      </c>
    </row>
    <row r="8" spans="1:13" s="119" customFormat="1" ht="26" x14ac:dyDescent="0.25">
      <c r="A8" s="133" t="s">
        <v>778</v>
      </c>
      <c r="B8" s="229" t="s">
        <v>777</v>
      </c>
      <c r="C8" s="157" t="s">
        <v>27</v>
      </c>
    </row>
    <row r="9" spans="1:13" s="119" customFormat="1" ht="13" x14ac:dyDescent="0.25">
      <c r="A9" s="133" t="s">
        <v>780</v>
      </c>
      <c r="B9" s="229" t="s">
        <v>779</v>
      </c>
      <c r="C9" s="157" t="s">
        <v>27</v>
      </c>
    </row>
    <row r="10" spans="1:13" s="119" customFormat="1" ht="26" x14ac:dyDescent="0.25">
      <c r="A10" s="133" t="s">
        <v>782</v>
      </c>
      <c r="B10" s="229" t="s">
        <v>781</v>
      </c>
      <c r="C10" s="157" t="s">
        <v>27</v>
      </c>
    </row>
    <row r="11" spans="1:13" s="119" customFormat="1" ht="26" x14ac:dyDescent="0.25">
      <c r="A11" s="133" t="s">
        <v>1217</v>
      </c>
      <c r="B11" s="229" t="s">
        <v>783</v>
      </c>
      <c r="C11" s="157" t="s">
        <v>27</v>
      </c>
    </row>
    <row r="12" spans="1:13" s="100" customFormat="1" ht="14.5" x14ac:dyDescent="0.25">
      <c r="A12" s="213" t="s">
        <v>784</v>
      </c>
      <c r="B12" s="213" t="s">
        <v>785</v>
      </c>
      <c r="C12" s="214"/>
    </row>
    <row r="13" spans="1:13" s="119" customFormat="1" ht="26" x14ac:dyDescent="0.25">
      <c r="A13" s="133" t="s">
        <v>786</v>
      </c>
      <c r="B13" s="229" t="s">
        <v>787</v>
      </c>
      <c r="C13" s="157" t="s">
        <v>27</v>
      </c>
    </row>
    <row r="14" spans="1:13" s="119" customFormat="1" ht="26" x14ac:dyDescent="0.25">
      <c r="A14" s="133" t="s">
        <v>788</v>
      </c>
      <c r="B14" s="229" t="s">
        <v>789</v>
      </c>
      <c r="C14" s="157" t="s">
        <v>27</v>
      </c>
    </row>
    <row r="15" spans="1:13" s="100" customFormat="1" ht="14.5" x14ac:dyDescent="0.25">
      <c r="A15" s="213" t="s">
        <v>790</v>
      </c>
      <c r="B15" s="213" t="s">
        <v>110</v>
      </c>
      <c r="C15" s="214"/>
    </row>
    <row r="16" spans="1:13" s="119" customFormat="1" ht="26" x14ac:dyDescent="0.25">
      <c r="A16" s="133" t="s">
        <v>791</v>
      </c>
      <c r="B16" s="229" t="s">
        <v>792</v>
      </c>
      <c r="C16" s="157" t="s">
        <v>27</v>
      </c>
    </row>
  </sheetData>
  <phoneticPr fontId="9" type="noConversion"/>
  <pageMargins left="0.7" right="0.7" top="0.75" bottom="0.75" header="0.3" footer="0.3"/>
  <pageSetup paperSize="9" orientation="landscape" horizontalDpi="1200" verticalDpi="1200" r:id="rId1"/>
  <headerFooter>
    <oddFooter>&amp;C_x000D_&amp;1#&amp;"Arial"&amp;9&amp;K000000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FAB5F-5BAB-4757-8267-1F14609AD0AE}">
  <dimension ref="A1:N82"/>
  <sheetViews>
    <sheetView zoomScale="115" zoomScaleNormal="115" workbookViewId="0">
      <pane ySplit="3" topLeftCell="A4" activePane="bottomLeft" state="frozen"/>
      <selection pane="bottomLeft" activeCell="B16" sqref="B16"/>
    </sheetView>
  </sheetViews>
  <sheetFormatPr defaultColWidth="9.1796875" defaultRowHeight="14.5" x14ac:dyDescent="0.25"/>
  <cols>
    <col min="1" max="1" width="6.7265625" style="121" customWidth="1"/>
    <col min="2" max="2" width="92.7265625" customWidth="1"/>
    <col min="3" max="3" width="13.54296875" style="123" customWidth="1"/>
    <col min="4" max="4" width="25.6328125" style="123" customWidth="1"/>
    <col min="5" max="5" width="12.81640625" style="123" customWidth="1"/>
    <col min="6" max="6" width="20.453125" style="259" customWidth="1"/>
    <col min="7" max="10" width="8.54296875" hidden="1" customWidth="1"/>
    <col min="11" max="11" width="23.1796875" hidden="1" customWidth="1"/>
    <col min="12" max="14" width="8.54296875" hidden="1" customWidth="1"/>
    <col min="15" max="38" width="8.54296875" customWidth="1"/>
  </cols>
  <sheetData>
    <row r="1" spans="1:12" ht="20.149999999999999" customHeight="1" x14ac:dyDescent="0.25">
      <c r="A1" s="203" t="str">
        <f>'1. Generellt'!A1</f>
        <v>Ekonomisystem, UPP-2025/047</v>
      </c>
      <c r="B1" s="203"/>
      <c r="C1" s="166" t="s">
        <v>1</v>
      </c>
      <c r="D1" s="260">
        <f>Information!D1</f>
        <v>0</v>
      </c>
      <c r="E1" s="166"/>
      <c r="F1" s="258"/>
      <c r="G1" s="136"/>
      <c r="H1" s="136"/>
      <c r="I1" s="136"/>
      <c r="J1" s="136"/>
      <c r="K1" s="136"/>
      <c r="L1" s="136"/>
    </row>
    <row r="2" spans="1:12" ht="22.5" customHeight="1" x14ac:dyDescent="0.25">
      <c r="A2"/>
      <c r="C2"/>
      <c r="D2"/>
      <c r="E2"/>
      <c r="F2" s="144"/>
    </row>
    <row r="3" spans="1:12" ht="58" x14ac:dyDescent="0.25">
      <c r="A3" s="213">
        <v>7</v>
      </c>
      <c r="B3" s="213" t="s">
        <v>793</v>
      </c>
      <c r="C3" s="214" t="s">
        <v>14</v>
      </c>
      <c r="D3" s="214" t="s">
        <v>15</v>
      </c>
      <c r="E3" s="214" t="s">
        <v>1191</v>
      </c>
      <c r="F3" s="214" t="s">
        <v>17</v>
      </c>
    </row>
    <row r="4" spans="1:12" s="218" customFormat="1" ht="18.5" x14ac:dyDescent="0.35">
      <c r="A4" s="215" t="s">
        <v>20</v>
      </c>
      <c r="B4" s="215" t="s">
        <v>21</v>
      </c>
      <c r="C4" s="216"/>
      <c r="D4" s="216"/>
      <c r="E4" s="216"/>
      <c r="F4" s="216"/>
    </row>
    <row r="5" spans="1:12" s="100" customFormat="1" x14ac:dyDescent="0.25">
      <c r="A5" s="213" t="s">
        <v>469</v>
      </c>
      <c r="B5" s="213" t="s">
        <v>794</v>
      </c>
      <c r="C5" s="214"/>
      <c r="D5" s="214"/>
      <c r="E5" s="214"/>
      <c r="F5" s="214"/>
    </row>
    <row r="6" spans="1:12" s="119" customFormat="1" ht="39" x14ac:dyDescent="0.25">
      <c r="A6" s="133" t="s">
        <v>471</v>
      </c>
      <c r="B6" s="229" t="s">
        <v>795</v>
      </c>
      <c r="C6" s="157" t="s">
        <v>27</v>
      </c>
      <c r="D6" s="248"/>
      <c r="E6" s="248"/>
      <c r="F6" s="248"/>
    </row>
    <row r="7" spans="1:12" s="119" customFormat="1" ht="39" customHeight="1" x14ac:dyDescent="0.25">
      <c r="A7" s="133" t="s">
        <v>474</v>
      </c>
      <c r="B7" s="229" t="s">
        <v>796</v>
      </c>
      <c r="C7" s="157" t="s">
        <v>27</v>
      </c>
      <c r="D7" s="248"/>
      <c r="E7" s="248"/>
      <c r="F7" s="248"/>
    </row>
    <row r="8" spans="1:12" s="119" customFormat="1" ht="26" x14ac:dyDescent="0.25">
      <c r="A8" s="133" t="s">
        <v>476</v>
      </c>
      <c r="B8" s="229" t="s">
        <v>797</v>
      </c>
      <c r="C8" s="157" t="s">
        <v>27</v>
      </c>
      <c r="D8" s="248"/>
      <c r="E8" s="248"/>
      <c r="F8" s="248"/>
    </row>
    <row r="9" spans="1:12" s="119" customFormat="1" ht="52" x14ac:dyDescent="0.25">
      <c r="A9" s="133" t="s">
        <v>478</v>
      </c>
      <c r="B9" s="317" t="s">
        <v>798</v>
      </c>
      <c r="C9" s="157" t="s">
        <v>27</v>
      </c>
      <c r="D9" s="248"/>
      <c r="E9" s="248"/>
      <c r="F9" s="248"/>
      <c r="I9" s="245"/>
    </row>
    <row r="10" spans="1:12" s="119" customFormat="1" ht="40.5" customHeight="1" x14ac:dyDescent="0.25">
      <c r="A10" s="133" t="s">
        <v>480</v>
      </c>
      <c r="B10" s="229" t="s">
        <v>799</v>
      </c>
      <c r="C10" s="157" t="s">
        <v>27</v>
      </c>
      <c r="D10" s="248"/>
      <c r="E10" s="248"/>
      <c r="F10" s="248"/>
    </row>
    <row r="11" spans="1:12" s="119" customFormat="1" ht="26" x14ac:dyDescent="0.25">
      <c r="A11" s="133" t="s">
        <v>482</v>
      </c>
      <c r="B11" s="229" t="s">
        <v>800</v>
      </c>
      <c r="C11" s="157" t="s">
        <v>27</v>
      </c>
      <c r="D11" s="248"/>
      <c r="E11" s="248"/>
      <c r="F11" s="248"/>
    </row>
    <row r="12" spans="1:12" s="119" customFormat="1" ht="26" x14ac:dyDescent="0.25">
      <c r="A12" s="133" t="s">
        <v>484</v>
      </c>
      <c r="B12" s="229" t="s">
        <v>801</v>
      </c>
      <c r="C12" s="157" t="s">
        <v>27</v>
      </c>
      <c r="D12" s="248"/>
      <c r="E12" s="248"/>
      <c r="F12" s="248"/>
    </row>
    <row r="13" spans="1:12" s="119" customFormat="1" ht="52" x14ac:dyDescent="0.25">
      <c r="A13" s="133" t="s">
        <v>486</v>
      </c>
      <c r="B13" s="229" t="s">
        <v>802</v>
      </c>
      <c r="C13" s="157" t="s">
        <v>27</v>
      </c>
      <c r="D13" s="248"/>
      <c r="E13" s="248"/>
      <c r="F13" s="248"/>
    </row>
    <row r="14" spans="1:12" s="119" customFormat="1" ht="13" x14ac:dyDescent="0.25">
      <c r="A14" s="133" t="s">
        <v>803</v>
      </c>
      <c r="B14" s="229" t="s">
        <v>804</v>
      </c>
      <c r="C14" s="157" t="s">
        <v>27</v>
      </c>
      <c r="D14" s="248"/>
      <c r="E14" s="248"/>
      <c r="F14" s="248"/>
    </row>
    <row r="15" spans="1:12" s="119" customFormat="1" ht="13" x14ac:dyDescent="0.25">
      <c r="A15" s="133" t="s">
        <v>805</v>
      </c>
      <c r="B15" s="229" t="s">
        <v>806</v>
      </c>
      <c r="C15" s="157" t="s">
        <v>27</v>
      </c>
      <c r="D15" s="248"/>
      <c r="E15" s="248"/>
      <c r="F15" s="248"/>
    </row>
    <row r="16" spans="1:12" s="119" customFormat="1" ht="26" x14ac:dyDescent="0.25">
      <c r="A16" s="133" t="s">
        <v>807</v>
      </c>
      <c r="B16" s="317" t="s">
        <v>808</v>
      </c>
      <c r="C16" s="157" t="s">
        <v>27</v>
      </c>
      <c r="D16" s="248"/>
      <c r="E16" s="248"/>
      <c r="F16" s="248"/>
      <c r="I16" s="305"/>
    </row>
    <row r="17" spans="1:9" s="119" customFormat="1" ht="26" x14ac:dyDescent="0.25">
      <c r="A17" s="133" t="s">
        <v>809</v>
      </c>
      <c r="B17" s="229" t="s">
        <v>810</v>
      </c>
      <c r="C17" s="157" t="s">
        <v>27</v>
      </c>
      <c r="D17" s="248"/>
      <c r="E17" s="248"/>
      <c r="F17" s="248"/>
    </row>
    <row r="18" spans="1:9" s="119" customFormat="1" ht="13" x14ac:dyDescent="0.25">
      <c r="A18" s="133" t="s">
        <v>811</v>
      </c>
      <c r="B18" s="229" t="s">
        <v>812</v>
      </c>
      <c r="C18" s="157" t="s">
        <v>27</v>
      </c>
      <c r="D18" s="248"/>
      <c r="E18" s="248"/>
      <c r="F18" s="248"/>
    </row>
    <row r="19" spans="1:9" s="119" customFormat="1" ht="52" x14ac:dyDescent="0.25">
      <c r="A19" s="133" t="s">
        <v>813</v>
      </c>
      <c r="B19" s="229" t="s">
        <v>814</v>
      </c>
      <c r="C19" s="157" t="s">
        <v>27</v>
      </c>
      <c r="D19" s="248"/>
      <c r="E19" s="248"/>
      <c r="F19" s="248"/>
    </row>
    <row r="20" spans="1:9" s="119" customFormat="1" ht="26" x14ac:dyDescent="0.25">
      <c r="A20" s="133" t="s">
        <v>815</v>
      </c>
      <c r="B20" s="229" t="s">
        <v>816</v>
      </c>
      <c r="C20" s="157" t="s">
        <v>27</v>
      </c>
      <c r="D20" s="248"/>
      <c r="E20" s="248"/>
      <c r="F20" s="248"/>
    </row>
    <row r="21" spans="1:9" s="119" customFormat="1" ht="52" x14ac:dyDescent="0.25">
      <c r="A21" s="133" t="s">
        <v>817</v>
      </c>
      <c r="B21" s="229" t="s">
        <v>818</v>
      </c>
      <c r="C21" s="157" t="s">
        <v>27</v>
      </c>
      <c r="D21" s="248"/>
      <c r="E21" s="248"/>
      <c r="F21" s="248"/>
    </row>
    <row r="22" spans="1:9" s="119" customFormat="1" ht="13" x14ac:dyDescent="0.25">
      <c r="A22" s="133" t="s">
        <v>819</v>
      </c>
      <c r="B22" s="229" t="s">
        <v>820</v>
      </c>
      <c r="C22" s="157" t="s">
        <v>27</v>
      </c>
      <c r="D22" s="248"/>
      <c r="E22" s="248"/>
      <c r="F22" s="248"/>
    </row>
    <row r="23" spans="1:9" s="119" customFormat="1" ht="26" x14ac:dyDescent="0.25">
      <c r="A23" s="133" t="s">
        <v>821</v>
      </c>
      <c r="B23" s="229" t="s">
        <v>822</v>
      </c>
      <c r="C23" s="157" t="s">
        <v>27</v>
      </c>
      <c r="D23" s="248"/>
      <c r="E23" s="248"/>
      <c r="F23" s="248"/>
    </row>
    <row r="24" spans="1:9" s="119" customFormat="1" ht="33" customHeight="1" x14ac:dyDescent="0.25">
      <c r="A24" s="133" t="s">
        <v>823</v>
      </c>
      <c r="B24" s="229" t="s">
        <v>824</v>
      </c>
      <c r="C24" s="157" t="s">
        <v>27</v>
      </c>
      <c r="D24" s="248"/>
      <c r="E24" s="248"/>
      <c r="F24" s="248"/>
    </row>
    <row r="25" spans="1:9" s="100" customFormat="1" x14ac:dyDescent="0.25">
      <c r="A25" s="213" t="s">
        <v>488</v>
      </c>
      <c r="B25" s="213" t="s">
        <v>825</v>
      </c>
      <c r="C25" s="214" t="s">
        <v>136</v>
      </c>
      <c r="D25" s="214"/>
      <c r="E25" s="214"/>
      <c r="F25" s="214"/>
    </row>
    <row r="26" spans="1:9" s="119" customFormat="1" ht="117" x14ac:dyDescent="0.25">
      <c r="A26" s="133" t="s">
        <v>490</v>
      </c>
      <c r="B26" s="229" t="s">
        <v>826</v>
      </c>
      <c r="C26" s="157" t="s">
        <v>27</v>
      </c>
      <c r="D26" s="248"/>
      <c r="E26" s="248"/>
      <c r="F26" s="248"/>
    </row>
    <row r="27" spans="1:9" s="119" customFormat="1" ht="26" x14ac:dyDescent="0.25">
      <c r="A27" s="133" t="s">
        <v>492</v>
      </c>
      <c r="B27" s="229" t="s">
        <v>827</v>
      </c>
      <c r="C27" s="157" t="s">
        <v>27</v>
      </c>
      <c r="D27" s="248"/>
      <c r="E27" s="248"/>
      <c r="F27" s="248"/>
    </row>
    <row r="28" spans="1:9" s="119" customFormat="1" ht="13" x14ac:dyDescent="0.25">
      <c r="A28" s="133" t="s">
        <v>494</v>
      </c>
      <c r="B28" s="229" t="s">
        <v>828</v>
      </c>
      <c r="C28" s="157" t="s">
        <v>27</v>
      </c>
      <c r="D28" s="248"/>
      <c r="E28" s="248"/>
      <c r="F28" s="248"/>
      <c r="H28" s="119" t="s">
        <v>18</v>
      </c>
    </row>
    <row r="29" spans="1:9" s="119" customFormat="1" ht="13" x14ac:dyDescent="0.25">
      <c r="A29" s="133" t="s">
        <v>496</v>
      </c>
      <c r="B29" s="229" t="s">
        <v>829</v>
      </c>
      <c r="C29" s="248" t="s">
        <v>82</v>
      </c>
      <c r="D29" s="257"/>
      <c r="E29" s="248">
        <f>IF(D29="ja",2,0)</f>
        <v>0</v>
      </c>
      <c r="F29" s="294">
        <f>(Jämförelsesumma!$E$6/Jämförelsesumma!$F$6)*E29</f>
        <v>0</v>
      </c>
      <c r="H29" s="119" t="s">
        <v>19</v>
      </c>
    </row>
    <row r="30" spans="1:9" s="119" customFormat="1" ht="13" x14ac:dyDescent="0.25">
      <c r="A30" s="133" t="s">
        <v>498</v>
      </c>
      <c r="B30" s="229" t="s">
        <v>830</v>
      </c>
      <c r="C30" s="157" t="s">
        <v>27</v>
      </c>
      <c r="D30" s="248"/>
      <c r="E30" s="248"/>
      <c r="F30" s="248"/>
    </row>
    <row r="31" spans="1:9" s="119" customFormat="1" ht="26" x14ac:dyDescent="0.25">
      <c r="A31" s="133" t="s">
        <v>500</v>
      </c>
      <c r="B31" s="229" t="s">
        <v>831</v>
      </c>
      <c r="C31" s="157" t="s">
        <v>27</v>
      </c>
      <c r="D31" s="248"/>
      <c r="E31" s="248"/>
      <c r="F31" s="248"/>
    </row>
    <row r="32" spans="1:9" s="119" customFormat="1" ht="52" x14ac:dyDescent="0.25">
      <c r="A32" s="133" t="s">
        <v>502</v>
      </c>
      <c r="B32" s="229" t="s">
        <v>832</v>
      </c>
      <c r="C32" s="157" t="s">
        <v>27</v>
      </c>
      <c r="D32" s="248"/>
      <c r="E32" s="248"/>
      <c r="F32" s="248"/>
      <c r="I32" s="245"/>
    </row>
    <row r="33" spans="1:9" s="100" customFormat="1" x14ac:dyDescent="0.25">
      <c r="A33" s="213" t="s">
        <v>833</v>
      </c>
      <c r="B33" s="213" t="s">
        <v>834</v>
      </c>
      <c r="C33" s="214"/>
      <c r="D33" s="214"/>
      <c r="E33" s="214"/>
      <c r="F33" s="214"/>
    </row>
    <row r="34" spans="1:9" s="119" customFormat="1" ht="39" x14ac:dyDescent="0.25">
      <c r="A34" s="133" t="s">
        <v>505</v>
      </c>
      <c r="B34" s="229" t="s">
        <v>835</v>
      </c>
      <c r="C34" s="157" t="s">
        <v>27</v>
      </c>
      <c r="D34" s="248"/>
      <c r="E34" s="248"/>
      <c r="F34" s="248"/>
    </row>
    <row r="35" spans="1:9" s="119" customFormat="1" ht="26" x14ac:dyDescent="0.25">
      <c r="A35" s="133" t="s">
        <v>507</v>
      </c>
      <c r="B35" s="229" t="s">
        <v>836</v>
      </c>
      <c r="C35" s="157" t="s">
        <v>27</v>
      </c>
      <c r="D35" s="248"/>
      <c r="E35" s="248"/>
      <c r="F35" s="248"/>
    </row>
    <row r="36" spans="1:9" s="119" customFormat="1" ht="13" x14ac:dyDescent="0.25">
      <c r="A36" s="133" t="s">
        <v>509</v>
      </c>
      <c r="B36" s="229" t="s">
        <v>837</v>
      </c>
      <c r="C36" s="157" t="s">
        <v>27</v>
      </c>
      <c r="D36" s="248"/>
      <c r="E36" s="248"/>
      <c r="F36" s="248"/>
      <c r="I36" s="245"/>
    </row>
    <row r="37" spans="1:9" s="119" customFormat="1" ht="13" x14ac:dyDescent="0.25">
      <c r="A37" s="133" t="s">
        <v>511</v>
      </c>
      <c r="B37" s="229" t="s">
        <v>838</v>
      </c>
      <c r="C37" s="157" t="s">
        <v>27</v>
      </c>
      <c r="D37" s="248"/>
      <c r="E37" s="248"/>
      <c r="F37" s="248"/>
    </row>
    <row r="38" spans="1:9" s="119" customFormat="1" ht="13" x14ac:dyDescent="0.25">
      <c r="A38" s="133" t="s">
        <v>513</v>
      </c>
      <c r="B38" s="229" t="s">
        <v>839</v>
      </c>
      <c r="C38" s="157" t="s">
        <v>27</v>
      </c>
      <c r="D38" s="248"/>
      <c r="E38" s="248"/>
      <c r="F38" s="248"/>
    </row>
    <row r="39" spans="1:9" s="100" customFormat="1" x14ac:dyDescent="0.25">
      <c r="A39" s="213" t="s">
        <v>533</v>
      </c>
      <c r="B39" s="213" t="s">
        <v>840</v>
      </c>
      <c r="C39" s="214"/>
      <c r="D39" s="214"/>
      <c r="E39" s="214"/>
      <c r="F39" s="214"/>
    </row>
    <row r="40" spans="1:9" s="119" customFormat="1" ht="26" x14ac:dyDescent="0.25">
      <c r="A40" s="133" t="s">
        <v>534</v>
      </c>
      <c r="B40" s="229" t="s">
        <v>841</v>
      </c>
      <c r="C40" s="157" t="s">
        <v>27</v>
      </c>
      <c r="D40" s="248"/>
      <c r="E40" s="248"/>
      <c r="F40" s="248"/>
    </row>
    <row r="41" spans="1:9" s="119" customFormat="1" ht="26" x14ac:dyDescent="0.25">
      <c r="A41" s="133" t="s">
        <v>536</v>
      </c>
      <c r="B41" s="229" t="s">
        <v>842</v>
      </c>
      <c r="C41" s="157" t="s">
        <v>27</v>
      </c>
      <c r="D41" s="248"/>
      <c r="E41" s="248"/>
      <c r="F41" s="248"/>
    </row>
    <row r="42" spans="1:9" s="119" customFormat="1" ht="26" x14ac:dyDescent="0.25">
      <c r="A42" s="133" t="s">
        <v>538</v>
      </c>
      <c r="B42" s="229" t="s">
        <v>843</v>
      </c>
      <c r="C42" s="157" t="s">
        <v>27</v>
      </c>
      <c r="D42" s="248"/>
      <c r="E42" s="248"/>
      <c r="F42" s="248"/>
    </row>
    <row r="43" spans="1:9" s="119" customFormat="1" ht="13" x14ac:dyDescent="0.25">
      <c r="A43" s="133" t="s">
        <v>540</v>
      </c>
      <c r="B43" s="229" t="s">
        <v>844</v>
      </c>
      <c r="C43" s="157" t="s">
        <v>27</v>
      </c>
      <c r="D43" s="248"/>
      <c r="E43" s="248"/>
      <c r="F43" s="248"/>
    </row>
    <row r="44" spans="1:9" s="119" customFormat="1" ht="19" customHeight="1" x14ac:dyDescent="0.25">
      <c r="A44" s="133" t="s">
        <v>542</v>
      </c>
      <c r="B44" s="229" t="s">
        <v>845</v>
      </c>
      <c r="C44" s="157" t="s">
        <v>27</v>
      </c>
      <c r="D44" s="248"/>
      <c r="E44" s="248"/>
      <c r="F44" s="248"/>
    </row>
    <row r="45" spans="1:9" s="119" customFormat="1" ht="26" x14ac:dyDescent="0.25">
      <c r="A45" s="133" t="s">
        <v>846</v>
      </c>
      <c r="B45" s="229" t="s">
        <v>847</v>
      </c>
      <c r="C45" s="157" t="s">
        <v>27</v>
      </c>
      <c r="D45" s="248"/>
      <c r="E45" s="248"/>
      <c r="F45" s="248"/>
    </row>
    <row r="46" spans="1:9" s="119" customFormat="1" ht="52" x14ac:dyDescent="0.25">
      <c r="A46" s="133" t="s">
        <v>848</v>
      </c>
      <c r="B46" s="229" t="s">
        <v>849</v>
      </c>
      <c r="C46" s="157" t="s">
        <v>27</v>
      </c>
      <c r="D46" s="248"/>
      <c r="E46" s="248"/>
      <c r="F46" s="248"/>
    </row>
    <row r="47" spans="1:9" s="119" customFormat="1" ht="39" x14ac:dyDescent="0.25">
      <c r="A47" s="133" t="s">
        <v>850</v>
      </c>
      <c r="B47" s="229" t="s">
        <v>851</v>
      </c>
      <c r="C47" s="157" t="s">
        <v>27</v>
      </c>
      <c r="D47" s="248"/>
      <c r="E47" s="248"/>
      <c r="F47" s="248"/>
    </row>
    <row r="48" spans="1:9" s="119" customFormat="1" ht="59.25" customHeight="1" x14ac:dyDescent="0.25">
      <c r="A48" s="133" t="s">
        <v>852</v>
      </c>
      <c r="B48" s="229" t="s">
        <v>853</v>
      </c>
      <c r="C48" s="157" t="s">
        <v>27</v>
      </c>
      <c r="D48" s="248"/>
      <c r="E48" s="248"/>
      <c r="F48" s="248"/>
      <c r="I48" s="245"/>
    </row>
    <row r="49" spans="1:14" s="119" customFormat="1" ht="26" x14ac:dyDescent="0.25">
      <c r="A49" s="133" t="s">
        <v>854</v>
      </c>
      <c r="B49" s="229" t="s">
        <v>855</v>
      </c>
      <c r="C49" s="157" t="s">
        <v>27</v>
      </c>
      <c r="D49" s="248"/>
      <c r="E49" s="248"/>
      <c r="F49" s="248"/>
    </row>
    <row r="50" spans="1:14" s="100" customFormat="1" x14ac:dyDescent="0.25">
      <c r="A50" s="213" t="s">
        <v>856</v>
      </c>
      <c r="B50" s="213" t="s">
        <v>857</v>
      </c>
      <c r="C50" s="214"/>
      <c r="D50" s="214"/>
      <c r="E50" s="214"/>
      <c r="F50" s="214"/>
    </row>
    <row r="51" spans="1:14" s="119" customFormat="1" ht="39" x14ac:dyDescent="0.25">
      <c r="A51" s="133" t="s">
        <v>858</v>
      </c>
      <c r="B51" s="229" t="s">
        <v>859</v>
      </c>
      <c r="C51" s="157" t="s">
        <v>27</v>
      </c>
      <c r="D51" s="248"/>
      <c r="E51" s="248"/>
      <c r="F51" s="248"/>
      <c r="I51" s="245"/>
    </row>
    <row r="52" spans="1:14" s="119" customFormat="1" ht="13" x14ac:dyDescent="0.25">
      <c r="A52" s="133" t="s">
        <v>860</v>
      </c>
      <c r="B52" s="229" t="s">
        <v>861</v>
      </c>
      <c r="C52" s="157" t="s">
        <v>27</v>
      </c>
      <c r="D52" s="248"/>
      <c r="E52" s="248"/>
      <c r="F52" s="248"/>
    </row>
    <row r="53" spans="1:14" s="119" customFormat="1" ht="39" x14ac:dyDescent="0.25">
      <c r="A53" s="133" t="s">
        <v>862</v>
      </c>
      <c r="B53" s="229" t="s">
        <v>863</v>
      </c>
      <c r="C53" s="157" t="s">
        <v>27</v>
      </c>
      <c r="D53" s="248"/>
      <c r="E53" s="248"/>
      <c r="F53" s="248"/>
    </row>
    <row r="54" spans="1:14" s="119" customFormat="1" ht="13" x14ac:dyDescent="0.25">
      <c r="A54" s="133" t="s">
        <v>864</v>
      </c>
      <c r="B54" s="229" t="s">
        <v>865</v>
      </c>
      <c r="C54" s="157" t="s">
        <v>27</v>
      </c>
      <c r="D54" s="248"/>
      <c r="E54" s="248"/>
      <c r="F54" s="248"/>
    </row>
    <row r="55" spans="1:14" s="119" customFormat="1" ht="13" x14ac:dyDescent="0.25">
      <c r="A55" s="133" t="s">
        <v>866</v>
      </c>
      <c r="B55" s="229" t="s">
        <v>867</v>
      </c>
      <c r="C55" s="157" t="s">
        <v>27</v>
      </c>
      <c r="D55" s="248"/>
      <c r="E55" s="248"/>
      <c r="F55" s="248"/>
    </row>
    <row r="56" spans="1:14" s="119" customFormat="1" ht="130" x14ac:dyDescent="0.25">
      <c r="A56" s="133" t="s">
        <v>868</v>
      </c>
      <c r="B56" s="229" t="s">
        <v>869</v>
      </c>
      <c r="C56" s="157" t="s">
        <v>27</v>
      </c>
      <c r="D56" s="248"/>
      <c r="E56" s="248"/>
      <c r="F56" s="248"/>
    </row>
    <row r="57" spans="1:14" s="119" customFormat="1" ht="45.65" customHeight="1" x14ac:dyDescent="0.25">
      <c r="A57" s="133" t="s">
        <v>870</v>
      </c>
      <c r="B57" s="229" t="s">
        <v>871</v>
      </c>
      <c r="C57" s="157" t="s">
        <v>27</v>
      </c>
      <c r="D57" s="248"/>
      <c r="E57" s="248"/>
      <c r="F57" s="248"/>
    </row>
    <row r="58" spans="1:14" s="119" customFormat="1" ht="13" x14ac:dyDescent="0.25">
      <c r="A58" s="133" t="s">
        <v>872</v>
      </c>
      <c r="B58" s="229" t="s">
        <v>873</v>
      </c>
      <c r="C58" s="157" t="s">
        <v>27</v>
      </c>
      <c r="D58" s="248"/>
      <c r="E58" s="248"/>
      <c r="F58" s="248"/>
    </row>
    <row r="59" spans="1:14" s="119" customFormat="1" ht="13" x14ac:dyDescent="0.25">
      <c r="A59" s="133" t="s">
        <v>874</v>
      </c>
      <c r="B59" s="229" t="s">
        <v>875</v>
      </c>
      <c r="C59" s="157" t="s">
        <v>27</v>
      </c>
      <c r="D59" s="248"/>
      <c r="E59" s="248"/>
      <c r="F59" s="248"/>
    </row>
    <row r="60" spans="1:14" s="100" customFormat="1" x14ac:dyDescent="0.25">
      <c r="A60" s="213" t="s">
        <v>876</v>
      </c>
      <c r="B60" s="213" t="s">
        <v>877</v>
      </c>
      <c r="C60" s="214"/>
      <c r="D60" s="214"/>
      <c r="E60" s="214"/>
      <c r="F60" s="214"/>
    </row>
    <row r="61" spans="1:14" s="119" customFormat="1" ht="26" x14ac:dyDescent="0.25">
      <c r="A61" s="133" t="s">
        <v>878</v>
      </c>
      <c r="B61" s="229" t="s">
        <v>1171</v>
      </c>
      <c r="C61" s="157" t="s">
        <v>27</v>
      </c>
      <c r="D61" s="248"/>
      <c r="E61" s="248"/>
      <c r="F61" s="248"/>
    </row>
    <row r="62" spans="1:14" s="119" customFormat="1" ht="26" x14ac:dyDescent="0.25">
      <c r="A62" s="229" t="s">
        <v>879</v>
      </c>
      <c r="B62" s="229" t="s">
        <v>1184</v>
      </c>
      <c r="C62" s="157" t="s">
        <v>27</v>
      </c>
      <c r="D62" s="248"/>
      <c r="E62" s="321"/>
      <c r="F62" s="248"/>
    </row>
    <row r="63" spans="1:14" s="119" customFormat="1" ht="26" x14ac:dyDescent="0.25">
      <c r="A63" s="133" t="s">
        <v>880</v>
      </c>
      <c r="B63" s="229" t="s">
        <v>1185</v>
      </c>
      <c r="C63" s="157" t="s">
        <v>6</v>
      </c>
      <c r="D63" s="257"/>
      <c r="E63" s="346" t="s">
        <v>1196</v>
      </c>
      <c r="F63" s="248">
        <f>IF(D63=J63,600000,0)</f>
        <v>0</v>
      </c>
      <c r="J63" s="344" t="s">
        <v>18</v>
      </c>
    </row>
    <row r="64" spans="1:14" s="119" customFormat="1" ht="39" x14ac:dyDescent="0.25">
      <c r="A64" s="133" t="s">
        <v>881</v>
      </c>
      <c r="B64" s="229" t="s">
        <v>1186</v>
      </c>
      <c r="C64" s="157" t="s">
        <v>6</v>
      </c>
      <c r="D64" s="257"/>
      <c r="E64" s="346" t="s">
        <v>1197</v>
      </c>
      <c r="F64" s="248">
        <f>IF(D64=K64,250000,(IF(D64=L64,125000,0)))</f>
        <v>0</v>
      </c>
      <c r="J64" s="344" t="s">
        <v>19</v>
      </c>
      <c r="K64" s="344" t="s">
        <v>1189</v>
      </c>
      <c r="L64" s="344" t="s">
        <v>1190</v>
      </c>
      <c r="M64" s="344"/>
      <c r="N64" s="344"/>
    </row>
    <row r="65" spans="1:6" s="119" customFormat="1" ht="26" x14ac:dyDescent="0.25">
      <c r="A65" s="133" t="s">
        <v>882</v>
      </c>
      <c r="B65" s="229" t="s">
        <v>1187</v>
      </c>
      <c r="C65" s="157" t="s">
        <v>6</v>
      </c>
      <c r="D65" s="257"/>
      <c r="E65" s="346" t="s">
        <v>1198</v>
      </c>
      <c r="F65" s="248">
        <f>IF(D65=J63,30000,0)</f>
        <v>0</v>
      </c>
    </row>
    <row r="66" spans="1:6" s="119" customFormat="1" ht="13" x14ac:dyDescent="0.25">
      <c r="A66" s="133" t="s">
        <v>883</v>
      </c>
      <c r="B66" s="229" t="s">
        <v>884</v>
      </c>
      <c r="C66" s="157" t="s">
        <v>6</v>
      </c>
      <c r="D66" s="257"/>
      <c r="E66" s="346" t="s">
        <v>1199</v>
      </c>
      <c r="F66" s="248">
        <f>IF(D66=J63,500000,0)</f>
        <v>0</v>
      </c>
    </row>
    <row r="67" spans="1:6" s="119" customFormat="1" ht="13" x14ac:dyDescent="0.25">
      <c r="A67" s="133" t="s">
        <v>885</v>
      </c>
      <c r="B67" s="229" t="s">
        <v>886</v>
      </c>
      <c r="C67" s="157" t="s">
        <v>27</v>
      </c>
      <c r="D67" s="248"/>
      <c r="E67" s="248"/>
      <c r="F67" s="248"/>
    </row>
    <row r="68" spans="1:6" s="119" customFormat="1" ht="13" x14ac:dyDescent="0.25">
      <c r="A68" s="318" t="s">
        <v>887</v>
      </c>
      <c r="B68" s="319" t="s">
        <v>888</v>
      </c>
      <c r="C68" s="320" t="s">
        <v>27</v>
      </c>
      <c r="D68" s="248"/>
      <c r="E68" s="248"/>
      <c r="F68" s="248"/>
    </row>
    <row r="69" spans="1:6" s="119" customFormat="1" ht="13" x14ac:dyDescent="0.25">
      <c r="A69" s="318" t="s">
        <v>889</v>
      </c>
      <c r="B69" s="319" t="s">
        <v>890</v>
      </c>
      <c r="C69" s="320" t="s">
        <v>27</v>
      </c>
      <c r="D69" s="248"/>
      <c r="E69" s="248"/>
      <c r="F69" s="248"/>
    </row>
    <row r="70" spans="1:6" s="119" customFormat="1" ht="13" x14ac:dyDescent="0.25">
      <c r="A70" s="318" t="s">
        <v>891</v>
      </c>
      <c r="B70" s="319" t="s">
        <v>892</v>
      </c>
      <c r="C70" s="320" t="s">
        <v>27</v>
      </c>
      <c r="D70" s="248"/>
      <c r="E70" s="248"/>
      <c r="F70" s="248"/>
    </row>
    <row r="71" spans="1:6" s="119" customFormat="1" ht="26" x14ac:dyDescent="0.25">
      <c r="A71" s="318" t="s">
        <v>893</v>
      </c>
      <c r="B71" s="319" t="s">
        <v>894</v>
      </c>
      <c r="C71" s="320" t="s">
        <v>27</v>
      </c>
      <c r="D71" s="248"/>
      <c r="E71" s="248"/>
      <c r="F71" s="248"/>
    </row>
    <row r="72" spans="1:6" s="119" customFormat="1" ht="13" x14ac:dyDescent="0.25">
      <c r="A72" s="133" t="s">
        <v>895</v>
      </c>
      <c r="B72" s="229" t="s">
        <v>896</v>
      </c>
      <c r="C72" s="157" t="s">
        <v>27</v>
      </c>
      <c r="D72" s="248"/>
      <c r="E72" s="248"/>
      <c r="F72" s="248"/>
    </row>
    <row r="73" spans="1:6" s="119" customFormat="1" ht="13" x14ac:dyDescent="0.25">
      <c r="A73" s="133" t="s">
        <v>897</v>
      </c>
      <c r="B73" s="229" t="s">
        <v>898</v>
      </c>
      <c r="C73" s="157" t="s">
        <v>27</v>
      </c>
      <c r="D73" s="248"/>
      <c r="E73" s="248"/>
      <c r="F73" s="248"/>
    </row>
    <row r="74" spans="1:6" s="119" customFormat="1" ht="13" x14ac:dyDescent="0.25">
      <c r="A74" s="133" t="s">
        <v>899</v>
      </c>
      <c r="B74" s="229" t="s">
        <v>900</v>
      </c>
      <c r="C74" s="157" t="s">
        <v>27</v>
      </c>
      <c r="D74" s="248"/>
      <c r="E74" s="248"/>
      <c r="F74" s="248"/>
    </row>
    <row r="75" spans="1:6" s="119" customFormat="1" ht="26" x14ac:dyDescent="0.25">
      <c r="A75" s="133" t="s">
        <v>901</v>
      </c>
      <c r="B75" s="229" t="s">
        <v>902</v>
      </c>
      <c r="C75" s="157" t="s">
        <v>27</v>
      </c>
      <c r="D75" s="248"/>
      <c r="E75" s="248"/>
      <c r="F75" s="248"/>
    </row>
    <row r="76" spans="1:6" s="119" customFormat="1" ht="26" x14ac:dyDescent="0.25">
      <c r="A76" s="133" t="s">
        <v>903</v>
      </c>
      <c r="B76" s="229" t="s">
        <v>904</v>
      </c>
      <c r="C76" s="157" t="s">
        <v>27</v>
      </c>
      <c r="D76" s="248"/>
      <c r="E76" s="248"/>
      <c r="F76" s="248"/>
    </row>
    <row r="77" spans="1:6" s="100" customFormat="1" x14ac:dyDescent="0.25">
      <c r="A77" s="213" t="s">
        <v>905</v>
      </c>
      <c r="B77" s="213" t="s">
        <v>906</v>
      </c>
      <c r="C77" s="214"/>
      <c r="D77" s="214"/>
      <c r="E77" s="214"/>
      <c r="F77" s="214"/>
    </row>
    <row r="78" spans="1:6" s="119" customFormat="1" ht="13" x14ac:dyDescent="0.25">
      <c r="A78" s="133" t="s">
        <v>907</v>
      </c>
      <c r="B78" s="229" t="s">
        <v>908</v>
      </c>
      <c r="C78" s="157" t="s">
        <v>27</v>
      </c>
      <c r="D78" s="248"/>
      <c r="E78" s="248"/>
      <c r="F78" s="248"/>
    </row>
    <row r="79" spans="1:6" s="119" customFormat="1" ht="65" x14ac:dyDescent="0.25">
      <c r="A79" s="133" t="s">
        <v>909</v>
      </c>
      <c r="B79" s="229" t="s">
        <v>910</v>
      </c>
      <c r="C79" s="157" t="s">
        <v>27</v>
      </c>
      <c r="D79" s="248"/>
      <c r="E79" s="248"/>
      <c r="F79" s="248"/>
    </row>
    <row r="80" spans="1:6" ht="13" x14ac:dyDescent="0.25">
      <c r="B80" s="238" t="s">
        <v>911</v>
      </c>
      <c r="C80" s="115"/>
      <c r="D80" s="115"/>
      <c r="E80" s="115">
        <f>SUM(E5:E79)</f>
        <v>0</v>
      </c>
      <c r="F80" s="115"/>
    </row>
    <row r="81" spans="4:6" x14ac:dyDescent="0.25">
      <c r="D81" s="349" t="s">
        <v>170</v>
      </c>
      <c r="E81" s="351">
        <f>SUM(E29:E66)</f>
        <v>0</v>
      </c>
    </row>
    <row r="82" spans="4:6" x14ac:dyDescent="0.25">
      <c r="D82" s="350" t="s">
        <v>1202</v>
      </c>
      <c r="E82" s="352"/>
      <c r="F82" s="353">
        <f>SUM(F63:F66)</f>
        <v>0</v>
      </c>
    </row>
  </sheetData>
  <autoFilter ref="A3:L82" xr:uid="{A7DFAB5F-5BAB-4757-8267-1F14609AD0AE}"/>
  <phoneticPr fontId="2" type="noConversion"/>
  <dataValidations count="3">
    <dataValidation type="list" allowBlank="1" showInputMessage="1" showErrorMessage="1" sqref="D29" xr:uid="{0192E6AF-107C-4106-A7E4-C962B4F2C97B}">
      <formula1>$H$28:$H$29</formula1>
    </dataValidation>
    <dataValidation type="list" allowBlank="1" showInputMessage="1" showErrorMessage="1" sqref="D63 D65:D66" xr:uid="{E1C2C1E3-AF95-4573-98E6-9B1913D01643}">
      <formula1>$J$63:$J$64</formula1>
    </dataValidation>
    <dataValidation type="list" allowBlank="1" showInputMessage="1" showErrorMessage="1" sqref="D64" xr:uid="{8A01E83B-3FC9-4E49-BBFB-A13B4C9D2EE4}">
      <formula1>$J$64:$M$64</formula1>
    </dataValidation>
  </dataValidations>
  <pageMargins left="0.7" right="0.7" top="0.75" bottom="0.75" header="0.3" footer="0.3"/>
  <pageSetup paperSize="9" orientation="landscape" r:id="rId1"/>
  <headerFooter>
    <oddFooter>&amp;C_x000D_&amp;1#&amp;"Arial"&amp;9&amp;K000000 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35F2C-A8C0-46CE-AC47-0E7A9B6D932D}">
  <dimension ref="A1:R88"/>
  <sheetViews>
    <sheetView zoomScaleNormal="100" workbookViewId="0">
      <pane ySplit="3" topLeftCell="A4" activePane="bottomLeft" state="frozen"/>
      <selection pane="bottomLeft" activeCell="D14" sqref="D14"/>
    </sheetView>
  </sheetViews>
  <sheetFormatPr defaultColWidth="8.81640625" defaultRowHeight="12.5" x14ac:dyDescent="0.25"/>
  <cols>
    <col min="1" max="1" width="8.54296875" customWidth="1"/>
    <col min="2" max="2" width="81.1796875" style="144" customWidth="1"/>
    <col min="3" max="3" width="14.453125" customWidth="1"/>
    <col min="4" max="4" width="11.1796875" customWidth="1"/>
    <col min="5" max="5" width="10.453125" customWidth="1"/>
    <col min="6" max="6" width="16.453125" customWidth="1"/>
    <col min="7" max="7" width="1.7265625" customWidth="1"/>
    <col min="8" max="8" width="36.453125" hidden="1" customWidth="1"/>
    <col min="9" max="9" width="43.453125" customWidth="1"/>
    <col min="10" max="12" width="8.81640625" customWidth="1"/>
    <col min="13" max="13" width="4.1796875" customWidth="1"/>
  </cols>
  <sheetData>
    <row r="1" spans="1:18" ht="20.149999999999999" customHeight="1" x14ac:dyDescent="0.25">
      <c r="A1" s="139" t="str">
        <f>'1. Generellt'!A1</f>
        <v>Ekonomisystem, UPP-2025/047</v>
      </c>
      <c r="B1" s="140"/>
      <c r="C1" s="198" t="s">
        <v>1</v>
      </c>
      <c r="D1" s="261">
        <f>Information!D1</f>
        <v>0</v>
      </c>
      <c r="E1" s="208"/>
      <c r="F1" s="208"/>
      <c r="G1" s="208"/>
      <c r="H1" s="136"/>
      <c r="I1" s="136"/>
      <c r="J1" s="136"/>
      <c r="K1" s="136"/>
      <c r="L1" s="136"/>
      <c r="M1" s="136"/>
      <c r="N1" s="136"/>
      <c r="O1" s="136"/>
      <c r="P1" s="136"/>
      <c r="Q1" s="136"/>
      <c r="R1" s="136"/>
    </row>
    <row r="2" spans="1:18" ht="20.5" customHeight="1" x14ac:dyDescent="0.25"/>
    <row r="3" spans="1:18" ht="29" x14ac:dyDescent="0.25">
      <c r="A3" s="213">
        <v>8</v>
      </c>
      <c r="B3" s="213" t="s">
        <v>912</v>
      </c>
      <c r="C3" s="214" t="s">
        <v>14</v>
      </c>
      <c r="D3" s="214" t="s">
        <v>15</v>
      </c>
      <c r="E3" s="213" t="s">
        <v>16</v>
      </c>
      <c r="F3" s="214" t="s">
        <v>17</v>
      </c>
    </row>
    <row r="4" spans="1:18" s="218" customFormat="1" ht="18.5" x14ac:dyDescent="0.35">
      <c r="A4" s="215" t="s">
        <v>20</v>
      </c>
      <c r="B4" s="215" t="s">
        <v>21</v>
      </c>
      <c r="C4" s="216"/>
      <c r="D4" s="216"/>
      <c r="E4" s="216"/>
      <c r="F4" s="216"/>
    </row>
    <row r="5" spans="1:18" s="100" customFormat="1" ht="14.5" x14ac:dyDescent="0.25">
      <c r="A5" s="213" t="s">
        <v>913</v>
      </c>
      <c r="B5" s="213" t="s">
        <v>914</v>
      </c>
      <c r="C5" s="214"/>
      <c r="D5" s="214"/>
      <c r="E5" s="214"/>
      <c r="F5" s="214"/>
    </row>
    <row r="6" spans="1:18" s="128" customFormat="1" ht="188.5" x14ac:dyDescent="0.35">
      <c r="A6" s="262" t="s">
        <v>915</v>
      </c>
      <c r="B6" s="264" t="s">
        <v>916</v>
      </c>
      <c r="C6" s="157" t="s">
        <v>27</v>
      </c>
      <c r="D6" s="126"/>
      <c r="E6" s="126"/>
      <c r="F6" s="126"/>
    </row>
    <row r="7" spans="1:18" s="128" customFormat="1" ht="14.5" x14ac:dyDescent="0.35">
      <c r="A7" s="263" t="s">
        <v>917</v>
      </c>
      <c r="B7" s="264" t="s">
        <v>918</v>
      </c>
      <c r="C7" s="157" t="s">
        <v>27</v>
      </c>
      <c r="D7" s="126"/>
      <c r="E7" s="126"/>
      <c r="F7" s="126"/>
    </row>
    <row r="8" spans="1:18" s="128" customFormat="1" ht="15" customHeight="1" x14ac:dyDescent="0.35">
      <c r="A8" s="263" t="s">
        <v>919</v>
      </c>
      <c r="B8" s="265" t="s">
        <v>920</v>
      </c>
      <c r="C8" s="157" t="s">
        <v>27</v>
      </c>
      <c r="D8" s="126"/>
      <c r="E8" s="126"/>
      <c r="F8" s="126"/>
    </row>
    <row r="9" spans="1:18" s="100" customFormat="1" ht="14.5" x14ac:dyDescent="0.25">
      <c r="A9" s="213" t="s">
        <v>921</v>
      </c>
      <c r="B9" s="213" t="s">
        <v>922</v>
      </c>
      <c r="C9" s="214"/>
      <c r="D9" s="214"/>
      <c r="E9" s="214"/>
      <c r="F9" s="214"/>
    </row>
    <row r="10" spans="1:18" s="124" customFormat="1" ht="14.5" x14ac:dyDescent="0.35">
      <c r="A10" s="266" t="s">
        <v>923</v>
      </c>
      <c r="B10" s="131" t="s">
        <v>924</v>
      </c>
      <c r="C10" s="157" t="s">
        <v>27</v>
      </c>
      <c r="D10" s="126"/>
      <c r="E10" s="126"/>
      <c r="F10" s="126"/>
    </row>
    <row r="11" spans="1:18" s="124" customFormat="1" ht="14.5" x14ac:dyDescent="0.35">
      <c r="A11" s="266" t="s">
        <v>925</v>
      </c>
      <c r="B11" s="131" t="s">
        <v>926</v>
      </c>
      <c r="C11" s="157" t="s">
        <v>27</v>
      </c>
      <c r="D11" s="126"/>
      <c r="E11" s="126"/>
      <c r="F11" s="126"/>
    </row>
    <row r="12" spans="1:18" s="124" customFormat="1" ht="29" x14ac:dyDescent="0.35">
      <c r="A12" s="266" t="s">
        <v>927</v>
      </c>
      <c r="B12" s="131" t="s">
        <v>928</v>
      </c>
      <c r="C12" s="157" t="s">
        <v>27</v>
      </c>
      <c r="D12" s="126"/>
      <c r="E12" s="126"/>
      <c r="F12" s="126"/>
      <c r="G12" s="173"/>
    </row>
    <row r="13" spans="1:18" s="124" customFormat="1" ht="43.5" x14ac:dyDescent="0.35">
      <c r="A13" s="266" t="s">
        <v>929</v>
      </c>
      <c r="B13" s="131" t="s">
        <v>930</v>
      </c>
      <c r="C13" s="157" t="s">
        <v>27</v>
      </c>
      <c r="D13" s="126"/>
      <c r="E13" s="126"/>
      <c r="F13" s="126"/>
    </row>
    <row r="14" spans="1:18" s="124" customFormat="1" ht="29" x14ac:dyDescent="0.35">
      <c r="A14" s="266" t="s">
        <v>931</v>
      </c>
      <c r="B14" s="131" t="s">
        <v>932</v>
      </c>
      <c r="C14" s="157" t="s">
        <v>27</v>
      </c>
      <c r="D14" s="126"/>
      <c r="E14" s="126"/>
      <c r="F14" s="126"/>
    </row>
    <row r="15" spans="1:18" s="124" customFormat="1" ht="29" x14ac:dyDescent="0.35">
      <c r="A15" s="266" t="s">
        <v>933</v>
      </c>
      <c r="B15" s="131" t="s">
        <v>934</v>
      </c>
      <c r="C15" s="157" t="s">
        <v>27</v>
      </c>
      <c r="D15" s="126"/>
      <c r="E15" s="126"/>
      <c r="F15" s="126"/>
    </row>
    <row r="16" spans="1:18" s="124" customFormat="1" ht="29" x14ac:dyDescent="0.35">
      <c r="A16" s="266" t="s">
        <v>935</v>
      </c>
      <c r="B16" s="131" t="s">
        <v>936</v>
      </c>
      <c r="C16" s="157" t="s">
        <v>27</v>
      </c>
      <c r="D16" s="126"/>
      <c r="E16" s="126"/>
      <c r="F16" s="126"/>
    </row>
    <row r="17" spans="1:8" s="124" customFormat="1" ht="14.5" x14ac:dyDescent="0.35">
      <c r="A17" s="266" t="s">
        <v>937</v>
      </c>
      <c r="B17" s="299" t="s">
        <v>938</v>
      </c>
      <c r="C17" s="157" t="s">
        <v>27</v>
      </c>
      <c r="D17" s="126"/>
      <c r="E17" s="126"/>
      <c r="F17" s="126"/>
    </row>
    <row r="18" spans="1:8" s="124" customFormat="1" ht="14.5" x14ac:dyDescent="0.35">
      <c r="A18" s="266" t="s">
        <v>939</v>
      </c>
      <c r="B18" s="131" t="s">
        <v>940</v>
      </c>
      <c r="C18" s="157" t="s">
        <v>27</v>
      </c>
      <c r="D18" s="300"/>
      <c r="E18" s="300"/>
      <c r="F18" s="131"/>
    </row>
    <row r="19" spans="1:8" s="100" customFormat="1" ht="14.5" x14ac:dyDescent="0.25">
      <c r="A19" s="213" t="s">
        <v>941</v>
      </c>
      <c r="B19" s="213" t="s">
        <v>942</v>
      </c>
      <c r="C19" s="214"/>
      <c r="D19" s="214"/>
      <c r="E19" s="214"/>
      <c r="F19" s="214"/>
    </row>
    <row r="20" spans="1:8" s="124" customFormat="1" ht="29" x14ac:dyDescent="0.35">
      <c r="A20" s="266" t="s">
        <v>943</v>
      </c>
      <c r="B20" s="131" t="s">
        <v>944</v>
      </c>
      <c r="C20" s="157" t="s">
        <v>27</v>
      </c>
      <c r="D20" s="126"/>
      <c r="E20" s="126"/>
      <c r="F20" s="126"/>
    </row>
    <row r="21" spans="1:8" s="124" customFormat="1" ht="19" customHeight="1" x14ac:dyDescent="0.35">
      <c r="A21" s="266" t="s">
        <v>945</v>
      </c>
      <c r="B21" s="131" t="s">
        <v>946</v>
      </c>
      <c r="C21" s="157" t="s">
        <v>27</v>
      </c>
      <c r="D21" s="126"/>
      <c r="E21" s="126"/>
      <c r="F21" s="126"/>
    </row>
    <row r="22" spans="1:8" s="124" customFormat="1" ht="32.5" customHeight="1" x14ac:dyDescent="0.35">
      <c r="A22" s="266" t="s">
        <v>947</v>
      </c>
      <c r="B22" s="131" t="s">
        <v>948</v>
      </c>
      <c r="C22" s="157" t="s">
        <v>27</v>
      </c>
      <c r="D22" s="126"/>
      <c r="E22" s="126"/>
      <c r="F22" s="126"/>
    </row>
    <row r="23" spans="1:8" s="124" customFormat="1" ht="39.65" customHeight="1" x14ac:dyDescent="0.35">
      <c r="A23" s="266" t="s">
        <v>949</v>
      </c>
      <c r="B23" s="131" t="s">
        <v>950</v>
      </c>
      <c r="C23" s="157" t="s">
        <v>27</v>
      </c>
      <c r="D23" s="126"/>
      <c r="E23" s="126"/>
      <c r="F23" s="126"/>
    </row>
    <row r="24" spans="1:8" s="124" customFormat="1" ht="40" customHeight="1" x14ac:dyDescent="0.35">
      <c r="A24" s="266" t="s">
        <v>951</v>
      </c>
      <c r="B24" s="131" t="s">
        <v>952</v>
      </c>
      <c r="C24" s="157" t="s">
        <v>27</v>
      </c>
      <c r="D24" s="126"/>
      <c r="E24" s="126"/>
      <c r="F24" s="126"/>
    </row>
    <row r="25" spans="1:8" s="124" customFormat="1" ht="29" x14ac:dyDescent="0.35">
      <c r="A25" s="266" t="s">
        <v>953</v>
      </c>
      <c r="B25" s="131" t="s">
        <v>954</v>
      </c>
      <c r="C25" s="157" t="s">
        <v>27</v>
      </c>
      <c r="D25" s="126"/>
      <c r="E25" s="126"/>
      <c r="F25" s="126"/>
    </row>
    <row r="26" spans="1:8" s="124" customFormat="1" ht="87" x14ac:dyDescent="0.35">
      <c r="A26" s="266" t="s">
        <v>955</v>
      </c>
      <c r="B26" s="131" t="s">
        <v>956</v>
      </c>
      <c r="C26" s="157" t="s">
        <v>27</v>
      </c>
      <c r="D26" s="126"/>
      <c r="E26" s="126"/>
      <c r="F26" s="126"/>
      <c r="G26" s="173"/>
    </row>
    <row r="27" spans="1:8" s="124" customFormat="1" ht="43.5" x14ac:dyDescent="0.35">
      <c r="A27" s="266" t="s">
        <v>957</v>
      </c>
      <c r="B27" s="131" t="s">
        <v>958</v>
      </c>
      <c r="C27" s="157" t="s">
        <v>27</v>
      </c>
      <c r="D27" s="126"/>
      <c r="E27" s="126"/>
      <c r="F27" s="126"/>
    </row>
    <row r="28" spans="1:8" s="124" customFormat="1" ht="29" x14ac:dyDescent="0.35">
      <c r="A28" s="266" t="s">
        <v>959</v>
      </c>
      <c r="B28" s="131" t="s">
        <v>960</v>
      </c>
      <c r="C28" s="157" t="s">
        <v>27</v>
      </c>
      <c r="D28" s="126"/>
      <c r="E28" s="126"/>
      <c r="F28" s="126"/>
    </row>
    <row r="29" spans="1:8" s="124" customFormat="1" ht="29" x14ac:dyDescent="0.35">
      <c r="A29" s="266" t="s">
        <v>961</v>
      </c>
      <c r="B29" s="131" t="s">
        <v>962</v>
      </c>
      <c r="C29" s="157" t="s">
        <v>27</v>
      </c>
      <c r="D29" s="126"/>
      <c r="E29" s="126"/>
      <c r="F29" s="126"/>
    </row>
    <row r="30" spans="1:8" s="124" customFormat="1" ht="87" x14ac:dyDescent="0.35">
      <c r="A30" s="266" t="s">
        <v>963</v>
      </c>
      <c r="B30" s="131" t="s">
        <v>964</v>
      </c>
      <c r="C30" s="157" t="s">
        <v>27</v>
      </c>
      <c r="D30" s="126"/>
      <c r="E30" s="126"/>
      <c r="F30" s="126"/>
    </row>
    <row r="31" spans="1:8" s="124" customFormat="1" ht="80.5" customHeight="1" x14ac:dyDescent="0.35">
      <c r="A31" s="266" t="s">
        <v>965</v>
      </c>
      <c r="B31" s="131" t="s">
        <v>966</v>
      </c>
      <c r="C31" s="157" t="s">
        <v>6</v>
      </c>
      <c r="D31" s="272"/>
      <c r="E31" s="126">
        <f>IF(D31="JA",2,0)</f>
        <v>0</v>
      </c>
      <c r="F31" s="322">
        <f>(Jämförelsesumma!$E$6/Jämförelsesumma!$F$6)*E31</f>
        <v>0</v>
      </c>
      <c r="H31" s="124" t="s">
        <v>18</v>
      </c>
    </row>
    <row r="32" spans="1:8" s="124" customFormat="1" ht="29" x14ac:dyDescent="0.35">
      <c r="A32" s="266" t="s">
        <v>967</v>
      </c>
      <c r="B32" s="130" t="s">
        <v>968</v>
      </c>
      <c r="C32" s="157" t="s">
        <v>27</v>
      </c>
      <c r="D32" s="126"/>
      <c r="E32" s="126"/>
      <c r="F32" s="126"/>
      <c r="H32" s="124" t="s">
        <v>19</v>
      </c>
    </row>
    <row r="33" spans="1:6" s="124" customFormat="1" ht="51" customHeight="1" x14ac:dyDescent="0.35">
      <c r="A33" s="266" t="s">
        <v>969</v>
      </c>
      <c r="B33" s="131" t="s">
        <v>970</v>
      </c>
      <c r="C33" s="157" t="s">
        <v>6</v>
      </c>
      <c r="D33" s="272"/>
      <c r="E33" s="126">
        <f>IF(D33="ja",4,0)</f>
        <v>0</v>
      </c>
      <c r="F33" s="322">
        <f>(Jämförelsesumma!$E$6/Jämförelsesumma!$F$6)*E33</f>
        <v>0</v>
      </c>
    </row>
    <row r="34" spans="1:6" s="128" customFormat="1" ht="130.5" x14ac:dyDescent="0.35">
      <c r="A34" s="266" t="s">
        <v>971</v>
      </c>
      <c r="B34" s="131" t="s">
        <v>972</v>
      </c>
      <c r="C34" s="157" t="s">
        <v>973</v>
      </c>
      <c r="D34" s="126"/>
      <c r="E34" s="126"/>
      <c r="F34" s="126"/>
    </row>
    <row r="35" spans="1:6" s="100" customFormat="1" ht="14.5" x14ac:dyDescent="0.25">
      <c r="A35" s="213" t="s">
        <v>974</v>
      </c>
      <c r="B35" s="213" t="s">
        <v>975</v>
      </c>
      <c r="C35" s="214"/>
      <c r="D35" s="214"/>
      <c r="E35" s="214"/>
      <c r="F35" s="214"/>
    </row>
    <row r="36" spans="1:6" s="128" customFormat="1" ht="30" customHeight="1" x14ac:dyDescent="0.35">
      <c r="A36" s="268" t="s">
        <v>976</v>
      </c>
      <c r="B36" s="127" t="s">
        <v>1203</v>
      </c>
      <c r="C36" s="157" t="s">
        <v>27</v>
      </c>
      <c r="D36" s="269"/>
      <c r="E36" s="269"/>
      <c r="F36" s="269"/>
    </row>
    <row r="37" spans="1:6" s="100" customFormat="1" ht="14.5" x14ac:dyDescent="0.25">
      <c r="A37" s="213" t="s">
        <v>977</v>
      </c>
      <c r="B37" s="213" t="s">
        <v>978</v>
      </c>
      <c r="C37" s="214"/>
      <c r="D37" s="214"/>
      <c r="E37" s="214"/>
      <c r="F37" s="214"/>
    </row>
    <row r="38" spans="1:6" s="124" customFormat="1" ht="36.65" customHeight="1" x14ac:dyDescent="0.35">
      <c r="A38" s="266" t="s">
        <v>979</v>
      </c>
      <c r="B38" s="131" t="s">
        <v>980</v>
      </c>
      <c r="C38" s="157" t="s">
        <v>27</v>
      </c>
      <c r="D38" s="269"/>
      <c r="E38" s="269"/>
      <c r="F38" s="269"/>
    </row>
    <row r="39" spans="1:6" s="124" customFormat="1" ht="44.15" customHeight="1" x14ac:dyDescent="0.35">
      <c r="A39" s="266" t="s">
        <v>981</v>
      </c>
      <c r="B39" s="131" t="s">
        <v>982</v>
      </c>
      <c r="C39" s="157" t="s">
        <v>27</v>
      </c>
      <c r="D39" s="269"/>
      <c r="E39" s="269"/>
      <c r="F39" s="269"/>
    </row>
    <row r="40" spans="1:6" s="124" customFormat="1" ht="21.65" customHeight="1" x14ac:dyDescent="0.35">
      <c r="A40" s="266" t="s">
        <v>983</v>
      </c>
      <c r="B40" s="131" t="s">
        <v>984</v>
      </c>
      <c r="C40" s="157" t="s">
        <v>27</v>
      </c>
      <c r="D40" s="269"/>
      <c r="E40" s="269"/>
      <c r="F40" s="269"/>
    </row>
    <row r="41" spans="1:6" s="100" customFormat="1" ht="14.5" x14ac:dyDescent="0.25">
      <c r="A41" s="213" t="s">
        <v>985</v>
      </c>
      <c r="B41" s="213" t="s">
        <v>986</v>
      </c>
      <c r="C41" s="214"/>
      <c r="D41" s="214"/>
      <c r="E41" s="214"/>
      <c r="F41" s="214"/>
    </row>
    <row r="42" spans="1:6" s="124" customFormat="1" ht="54.75" customHeight="1" x14ac:dyDescent="0.35">
      <c r="A42" s="266" t="s">
        <v>987</v>
      </c>
      <c r="B42" s="131" t="s">
        <v>988</v>
      </c>
      <c r="C42" s="157" t="s">
        <v>27</v>
      </c>
      <c r="D42" s="269"/>
      <c r="E42" s="269"/>
      <c r="F42" s="269"/>
    </row>
    <row r="43" spans="1:6" s="124" customFormat="1" ht="29" x14ac:dyDescent="0.35">
      <c r="A43" s="266" t="s">
        <v>989</v>
      </c>
      <c r="B43" s="131" t="s">
        <v>990</v>
      </c>
      <c r="C43" s="157" t="s">
        <v>27</v>
      </c>
      <c r="D43" s="269"/>
      <c r="E43" s="269"/>
      <c r="F43" s="269"/>
    </row>
    <row r="44" spans="1:6" s="100" customFormat="1" ht="14.5" x14ac:dyDescent="0.25">
      <c r="A44" s="213" t="s">
        <v>991</v>
      </c>
      <c r="B44" s="213" t="s">
        <v>992</v>
      </c>
      <c r="C44" s="214"/>
      <c r="D44" s="214"/>
      <c r="E44" s="214"/>
      <c r="F44" s="214"/>
    </row>
    <row r="45" spans="1:6" s="124" customFormat="1" ht="29" x14ac:dyDescent="0.35">
      <c r="A45" s="270" t="s">
        <v>993</v>
      </c>
      <c r="B45" s="131" t="s">
        <v>994</v>
      </c>
      <c r="C45" s="157" t="s">
        <v>27</v>
      </c>
      <c r="D45" s="269"/>
      <c r="E45" s="269"/>
      <c r="F45" s="269"/>
    </row>
    <row r="46" spans="1:6" s="124" customFormat="1" ht="43.5" x14ac:dyDescent="0.35">
      <c r="A46" s="270" t="s">
        <v>995</v>
      </c>
      <c r="B46" s="131" t="s">
        <v>996</v>
      </c>
      <c r="C46" s="157" t="s">
        <v>27</v>
      </c>
      <c r="D46" s="269"/>
      <c r="E46" s="269"/>
      <c r="F46" s="269"/>
    </row>
    <row r="47" spans="1:6" s="124" customFormat="1" ht="14.5" x14ac:dyDescent="0.35">
      <c r="A47" s="266" t="s">
        <v>997</v>
      </c>
      <c r="B47" s="131" t="s">
        <v>998</v>
      </c>
      <c r="C47" s="157" t="s">
        <v>27</v>
      </c>
      <c r="D47" s="269"/>
      <c r="E47" s="269"/>
      <c r="F47" s="269"/>
    </row>
    <row r="48" spans="1:6" s="124" customFormat="1" ht="29" x14ac:dyDescent="0.35">
      <c r="A48" s="266" t="s">
        <v>999</v>
      </c>
      <c r="B48" s="131" t="s">
        <v>1000</v>
      </c>
      <c r="C48" s="157" t="s">
        <v>27</v>
      </c>
      <c r="D48" s="269"/>
      <c r="E48" s="269"/>
      <c r="F48" s="269"/>
    </row>
    <row r="49" spans="1:10" s="124" customFormat="1" ht="14.5" x14ac:dyDescent="0.35">
      <c r="A49" s="266" t="s">
        <v>1001</v>
      </c>
      <c r="B49" s="131" t="s">
        <v>1002</v>
      </c>
      <c r="C49" s="157" t="s">
        <v>27</v>
      </c>
      <c r="D49" s="269"/>
      <c r="E49" s="269"/>
      <c r="F49" s="269"/>
    </row>
    <row r="50" spans="1:10" s="124" customFormat="1" ht="29" x14ac:dyDescent="0.35">
      <c r="A50" s="266" t="s">
        <v>1003</v>
      </c>
      <c r="B50" s="131" t="s">
        <v>1004</v>
      </c>
      <c r="C50" s="157" t="s">
        <v>27</v>
      </c>
      <c r="D50" s="269"/>
      <c r="E50" s="269"/>
      <c r="F50" s="269"/>
    </row>
    <row r="51" spans="1:10" s="124" customFormat="1" ht="29" x14ac:dyDescent="0.35">
      <c r="A51" s="266" t="s">
        <v>1005</v>
      </c>
      <c r="B51" s="131" t="s">
        <v>1006</v>
      </c>
      <c r="C51" s="157" t="s">
        <v>27</v>
      </c>
      <c r="D51" s="269"/>
      <c r="E51" s="269"/>
      <c r="F51" s="269"/>
    </row>
    <row r="52" spans="1:10" s="124" customFormat="1" ht="29" x14ac:dyDescent="0.35">
      <c r="A52" s="266" t="s">
        <v>1007</v>
      </c>
      <c r="B52" s="131" t="s">
        <v>1008</v>
      </c>
      <c r="C52" s="157" t="s">
        <v>27</v>
      </c>
      <c r="D52" s="269"/>
      <c r="E52" s="269"/>
      <c r="F52" s="269"/>
    </row>
    <row r="53" spans="1:10" s="100" customFormat="1" ht="14.5" x14ac:dyDescent="0.25">
      <c r="A53" s="213" t="s">
        <v>1009</v>
      </c>
      <c r="B53" s="213" t="s">
        <v>1010</v>
      </c>
      <c r="C53" s="214"/>
      <c r="D53" s="214"/>
      <c r="E53" s="214"/>
      <c r="F53" s="214"/>
    </row>
    <row r="54" spans="1:10" s="124" customFormat="1" ht="14.5" x14ac:dyDescent="0.35">
      <c r="A54" s="266" t="s">
        <v>1011</v>
      </c>
      <c r="B54" s="131" t="s">
        <v>1012</v>
      </c>
      <c r="C54" s="157" t="s">
        <v>27</v>
      </c>
      <c r="D54" s="269"/>
      <c r="E54" s="269"/>
      <c r="F54" s="269"/>
    </row>
    <row r="55" spans="1:10" s="124" customFormat="1" ht="14.5" x14ac:dyDescent="0.35">
      <c r="A55" s="266" t="s">
        <v>1013</v>
      </c>
      <c r="B55" s="131" t="s">
        <v>1014</v>
      </c>
      <c r="C55" s="157" t="s">
        <v>27</v>
      </c>
      <c r="D55" s="269"/>
      <c r="E55" s="269"/>
      <c r="F55" s="269"/>
    </row>
    <row r="56" spans="1:10" s="124" customFormat="1" ht="14.5" x14ac:dyDescent="0.35">
      <c r="A56" s="266" t="s">
        <v>1015</v>
      </c>
      <c r="B56" s="131" t="s">
        <v>1016</v>
      </c>
      <c r="C56" s="157" t="s">
        <v>27</v>
      </c>
      <c r="D56" s="269"/>
      <c r="E56" s="269"/>
      <c r="F56" s="269"/>
    </row>
    <row r="57" spans="1:10" s="124" customFormat="1" ht="14.5" x14ac:dyDescent="0.35">
      <c r="A57" s="266" t="s">
        <v>1017</v>
      </c>
      <c r="B57" s="131" t="s">
        <v>1018</v>
      </c>
      <c r="C57" s="157" t="s">
        <v>27</v>
      </c>
      <c r="D57" s="269"/>
      <c r="E57" s="269"/>
      <c r="F57" s="269"/>
    </row>
    <row r="58" spans="1:10" s="124" customFormat="1" ht="14.5" x14ac:dyDescent="0.35">
      <c r="A58" s="266" t="s">
        <v>1019</v>
      </c>
      <c r="B58" s="131" t="s">
        <v>1020</v>
      </c>
      <c r="C58" s="157" t="s">
        <v>27</v>
      </c>
      <c r="D58" s="269"/>
      <c r="E58" s="269"/>
      <c r="F58" s="269"/>
    </row>
    <row r="59" spans="1:10" s="124" customFormat="1" ht="14.5" x14ac:dyDescent="0.35">
      <c r="A59" s="266" t="s">
        <v>1021</v>
      </c>
      <c r="B59" s="131" t="s">
        <v>1022</v>
      </c>
      <c r="C59" s="157" t="s">
        <v>27</v>
      </c>
      <c r="D59" s="269"/>
      <c r="E59" s="269"/>
      <c r="F59" s="269"/>
    </row>
    <row r="60" spans="1:10" s="124" customFormat="1" ht="14.5" x14ac:dyDescent="0.35">
      <c r="A60" s="266" t="s">
        <v>1023</v>
      </c>
      <c r="B60" s="131" t="s">
        <v>1024</v>
      </c>
      <c r="C60" s="157" t="s">
        <v>27</v>
      </c>
      <c r="D60" s="269"/>
      <c r="E60" s="269"/>
      <c r="F60" s="269"/>
    </row>
    <row r="61" spans="1:10" s="100" customFormat="1" ht="14.5" x14ac:dyDescent="0.25">
      <c r="A61" s="213" t="s">
        <v>1025</v>
      </c>
      <c r="B61" s="213" t="s">
        <v>1026</v>
      </c>
      <c r="C61" s="214"/>
      <c r="D61" s="214"/>
      <c r="E61" s="214"/>
      <c r="F61" s="214"/>
    </row>
    <row r="62" spans="1:10" s="124" customFormat="1" ht="15" customHeight="1" x14ac:dyDescent="0.35">
      <c r="A62" s="266" t="s">
        <v>1027</v>
      </c>
      <c r="B62" s="131" t="s">
        <v>1028</v>
      </c>
      <c r="C62" s="157" t="s">
        <v>27</v>
      </c>
      <c r="D62" s="269"/>
      <c r="E62" s="269"/>
      <c r="F62" s="269"/>
    </row>
    <row r="63" spans="1:10" s="124" customFormat="1" ht="15" customHeight="1" x14ac:dyDescent="0.35">
      <c r="A63" s="266" t="s">
        <v>1029</v>
      </c>
      <c r="B63" s="131" t="s">
        <v>1030</v>
      </c>
      <c r="C63" s="157" t="s">
        <v>27</v>
      </c>
      <c r="D63" s="269"/>
      <c r="E63" s="269"/>
      <c r="F63" s="269"/>
    </row>
    <row r="64" spans="1:10" s="124" customFormat="1" ht="29" x14ac:dyDescent="0.35">
      <c r="A64" s="266" t="s">
        <v>1031</v>
      </c>
      <c r="B64" s="131" t="s">
        <v>1188</v>
      </c>
      <c r="C64" s="157" t="s">
        <v>27</v>
      </c>
      <c r="D64" s="269"/>
      <c r="E64" s="269"/>
      <c r="F64" s="269"/>
      <c r="H64" s="343"/>
      <c r="I64" s="343"/>
      <c r="J64" s="100"/>
    </row>
    <row r="65" spans="1:6" s="124" customFormat="1" ht="29" x14ac:dyDescent="0.35">
      <c r="A65" s="266" t="s">
        <v>1032</v>
      </c>
      <c r="B65" s="131" t="s">
        <v>1033</v>
      </c>
      <c r="C65" s="157" t="s">
        <v>27</v>
      </c>
      <c r="D65" s="269"/>
      <c r="E65" s="269"/>
      <c r="F65" s="269"/>
    </row>
    <row r="66" spans="1:6" s="124" customFormat="1" ht="43.5" x14ac:dyDescent="0.35">
      <c r="A66" s="266" t="s">
        <v>1034</v>
      </c>
      <c r="B66" s="130" t="s">
        <v>1035</v>
      </c>
      <c r="C66" s="157" t="s">
        <v>27</v>
      </c>
      <c r="D66" s="269"/>
      <c r="E66" s="269"/>
      <c r="F66" s="269"/>
    </row>
    <row r="67" spans="1:6" s="100" customFormat="1" ht="14.5" x14ac:dyDescent="0.25">
      <c r="A67" s="213" t="s">
        <v>1036</v>
      </c>
      <c r="B67" s="213" t="s">
        <v>1037</v>
      </c>
      <c r="C67" s="214"/>
      <c r="D67" s="214"/>
      <c r="E67" s="214"/>
      <c r="F67" s="214"/>
    </row>
    <row r="68" spans="1:6" s="124" customFormat="1" ht="29" x14ac:dyDescent="0.35">
      <c r="A68" s="266" t="s">
        <v>1038</v>
      </c>
      <c r="B68" s="131" t="s">
        <v>1039</v>
      </c>
      <c r="C68" s="157" t="s">
        <v>27</v>
      </c>
      <c r="D68" s="269"/>
      <c r="E68" s="269"/>
      <c r="F68" s="269"/>
    </row>
    <row r="69" spans="1:6" s="124" customFormat="1" ht="72.5" x14ac:dyDescent="0.35">
      <c r="A69" s="270" t="s">
        <v>1040</v>
      </c>
      <c r="B69" s="130" t="s">
        <v>1041</v>
      </c>
      <c r="C69" s="157" t="s">
        <v>27</v>
      </c>
      <c r="D69" s="269"/>
      <c r="E69" s="269"/>
      <c r="F69" s="269"/>
    </row>
    <row r="70" spans="1:6" s="100" customFormat="1" ht="14.5" x14ac:dyDescent="0.25">
      <c r="A70" s="213" t="s">
        <v>1042</v>
      </c>
      <c r="B70" s="213" t="s">
        <v>1043</v>
      </c>
      <c r="C70" s="214"/>
      <c r="D70" s="214"/>
      <c r="E70" s="214"/>
      <c r="F70" s="214"/>
    </row>
    <row r="71" spans="1:6" s="124" customFormat="1" ht="15" customHeight="1" x14ac:dyDescent="0.35">
      <c r="A71" s="266" t="s">
        <v>1044</v>
      </c>
      <c r="B71" s="131" t="s">
        <v>1045</v>
      </c>
      <c r="C71" s="157" t="s">
        <v>27</v>
      </c>
      <c r="D71" s="269"/>
      <c r="E71" s="269"/>
      <c r="F71" s="269"/>
    </row>
    <row r="72" spans="1:6" s="124" customFormat="1" ht="14.5" x14ac:dyDescent="0.35">
      <c r="A72" s="266" t="s">
        <v>1046</v>
      </c>
      <c r="B72" s="131" t="s">
        <v>1047</v>
      </c>
      <c r="C72" s="157" t="s">
        <v>27</v>
      </c>
      <c r="D72" s="269"/>
      <c r="E72" s="269"/>
      <c r="F72" s="269"/>
    </row>
    <row r="73" spans="1:6" s="124" customFormat="1" ht="15" customHeight="1" x14ac:dyDescent="0.35">
      <c r="A73" s="266" t="s">
        <v>1048</v>
      </c>
      <c r="B73" s="131" t="s">
        <v>1049</v>
      </c>
      <c r="C73" s="157" t="s">
        <v>27</v>
      </c>
      <c r="D73" s="269"/>
      <c r="E73" s="269"/>
      <c r="F73" s="269"/>
    </row>
    <row r="74" spans="1:6" s="124" customFormat="1" ht="14.5" x14ac:dyDescent="0.35">
      <c r="A74" s="266" t="s">
        <v>1050</v>
      </c>
      <c r="B74" s="131" t="s">
        <v>1051</v>
      </c>
      <c r="C74" s="157" t="s">
        <v>27</v>
      </c>
      <c r="D74" s="269"/>
      <c r="E74" s="269"/>
      <c r="F74" s="269"/>
    </row>
    <row r="75" spans="1:6" s="124" customFormat="1" ht="29" x14ac:dyDescent="0.35">
      <c r="A75" s="266" t="s">
        <v>1052</v>
      </c>
      <c r="B75" s="131" t="s">
        <v>1053</v>
      </c>
      <c r="C75" s="157" t="s">
        <v>27</v>
      </c>
      <c r="D75" s="269"/>
      <c r="E75" s="269"/>
      <c r="F75" s="269"/>
    </row>
    <row r="76" spans="1:6" s="124" customFormat="1" ht="15" customHeight="1" x14ac:dyDescent="0.35">
      <c r="A76" s="266" t="s">
        <v>1054</v>
      </c>
      <c r="B76" s="131" t="s">
        <v>1055</v>
      </c>
      <c r="C76" s="157" t="s">
        <v>27</v>
      </c>
      <c r="D76" s="269"/>
      <c r="E76" s="269"/>
      <c r="F76" s="269"/>
    </row>
    <row r="77" spans="1:6" s="100" customFormat="1" ht="14.5" x14ac:dyDescent="0.25">
      <c r="A77" s="213" t="s">
        <v>1056</v>
      </c>
      <c r="B77" s="213" t="s">
        <v>1057</v>
      </c>
      <c r="C77" s="214"/>
      <c r="D77" s="214"/>
      <c r="E77" s="214"/>
      <c r="F77" s="214"/>
    </row>
    <row r="78" spans="1:6" s="271" customFormat="1" ht="29" x14ac:dyDescent="0.35">
      <c r="A78" s="266" t="s">
        <v>1058</v>
      </c>
      <c r="B78" s="131" t="s">
        <v>1059</v>
      </c>
      <c r="C78" s="157" t="s">
        <v>27</v>
      </c>
      <c r="D78" s="269"/>
      <c r="E78" s="269"/>
      <c r="F78" s="269"/>
    </row>
    <row r="79" spans="1:6" s="271" customFormat="1" ht="43.5" x14ac:dyDescent="0.35">
      <c r="A79" s="266" t="s">
        <v>1238</v>
      </c>
      <c r="B79" s="131" t="s">
        <v>1060</v>
      </c>
      <c r="C79" s="157" t="s">
        <v>27</v>
      </c>
      <c r="D79" s="269"/>
      <c r="E79" s="269"/>
      <c r="F79" s="269"/>
    </row>
    <row r="80" spans="1:6" s="271" customFormat="1" ht="29" x14ac:dyDescent="0.35">
      <c r="A80" s="266" t="s">
        <v>1061</v>
      </c>
      <c r="B80" s="131" t="s">
        <v>1062</v>
      </c>
      <c r="C80" s="157" t="s">
        <v>27</v>
      </c>
      <c r="D80" s="269"/>
      <c r="E80" s="269"/>
      <c r="F80" s="269"/>
    </row>
    <row r="81" spans="1:7" s="155" customFormat="1" ht="15" customHeight="1" x14ac:dyDescent="0.25">
      <c r="A81" s="125"/>
      <c r="B81" s="238" t="s">
        <v>1063</v>
      </c>
      <c r="C81" s="115"/>
      <c r="E81" s="115">
        <f>SUM(E6:E80)</f>
        <v>0</v>
      </c>
      <c r="F81" s="115"/>
    </row>
    <row r="82" spans="1:7" s="155" customFormat="1" ht="15" customHeight="1" x14ac:dyDescent="0.25">
      <c r="A82" s="125"/>
      <c r="B82" s="132"/>
      <c r="C82" s="154"/>
      <c r="D82" s="132"/>
      <c r="E82" s="132"/>
      <c r="F82" s="132"/>
      <c r="G82" s="132"/>
    </row>
    <row r="83" spans="1:7" s="155" customFormat="1" ht="15" customHeight="1" x14ac:dyDescent="0.25">
      <c r="A83" s="125"/>
      <c r="B83" s="132"/>
      <c r="C83" s="154"/>
      <c r="D83" s="132"/>
      <c r="E83" s="132"/>
      <c r="F83" s="132"/>
      <c r="G83" s="132"/>
    </row>
    <row r="84" spans="1:7" s="155" customFormat="1" ht="15" customHeight="1" x14ac:dyDescent="0.25">
      <c r="A84" s="125"/>
      <c r="B84" s="132"/>
      <c r="C84" s="154"/>
      <c r="D84" s="132"/>
      <c r="E84" s="132"/>
      <c r="F84" s="132"/>
      <c r="G84" s="132"/>
    </row>
    <row r="85" spans="1:7" s="155" customFormat="1" ht="15" customHeight="1" x14ac:dyDescent="0.25">
      <c r="A85" s="125"/>
      <c r="B85" s="132"/>
      <c r="C85" s="154"/>
      <c r="D85" s="132"/>
      <c r="E85" s="132"/>
      <c r="F85" s="132"/>
      <c r="G85" s="132"/>
    </row>
    <row r="86" spans="1:7" s="155" customFormat="1" ht="15" customHeight="1" x14ac:dyDescent="0.25">
      <c r="A86" s="125"/>
      <c r="B86" s="132"/>
      <c r="C86" s="154"/>
      <c r="D86" s="132"/>
      <c r="E86" s="132"/>
      <c r="F86" s="132"/>
      <c r="G86" s="132"/>
    </row>
    <row r="87" spans="1:7" s="155" customFormat="1" ht="15" customHeight="1" x14ac:dyDescent="0.25">
      <c r="A87" s="125"/>
      <c r="B87" s="132"/>
      <c r="C87" s="154"/>
      <c r="D87" s="154"/>
      <c r="E87" s="154"/>
      <c r="F87" s="154"/>
      <c r="G87" s="154"/>
    </row>
    <row r="88" spans="1:7" ht="15" customHeight="1" x14ac:dyDescent="0.25"/>
  </sheetData>
  <autoFilter ref="A3:G81" xr:uid="{8A235F2C-A8C0-46CE-AC47-0E7A9B6D932D}"/>
  <phoneticPr fontId="9" type="noConversion"/>
  <dataValidations count="1">
    <dataValidation type="list" allowBlank="1" showInputMessage="1" showErrorMessage="1" sqref="D31 D33" xr:uid="{F7471F02-C193-4E5C-8CB2-471B71771B7B}">
      <formula1>$H$31:$H$32</formula1>
    </dataValidation>
  </dataValidations>
  <pageMargins left="0.7" right="0.7" top="0.75" bottom="0.75" header="0.3" footer="0.3"/>
  <pageSetup paperSize="9" orientation="landscape" r:id="rId1"/>
  <headerFooter>
    <oddFooter>&amp;C_x000D_&amp;1#&amp;"Arial"&amp;9&amp;K000000 Confidential</oddFooter>
  </headerFooter>
  <ignoredErrors>
    <ignoredError sqref="D1" unlocked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CF9E-2B54-42E4-8496-89C20657CD0B}">
  <dimension ref="A1:K19"/>
  <sheetViews>
    <sheetView zoomScale="130" zoomScaleNormal="130" workbookViewId="0">
      <selection activeCell="K17" sqref="K17"/>
    </sheetView>
  </sheetViews>
  <sheetFormatPr defaultColWidth="8.81640625" defaultRowHeight="30.75" customHeight="1" x14ac:dyDescent="0.25"/>
  <cols>
    <col min="2" max="2" width="82.54296875" customWidth="1"/>
    <col min="3" max="3" width="16" customWidth="1"/>
  </cols>
  <sheetData>
    <row r="1" spans="1:11" ht="20.149999999999999" customHeight="1" x14ac:dyDescent="0.25">
      <c r="A1" s="203" t="str">
        <f>'1. Generellt'!A1</f>
        <v>Ekonomisystem, UPP-2025/047</v>
      </c>
      <c r="B1" s="203"/>
      <c r="C1" s="166" t="s">
        <v>1</v>
      </c>
      <c r="D1" s="221">
        <f>Information!D1</f>
        <v>0</v>
      </c>
      <c r="E1" s="136"/>
      <c r="F1" s="136"/>
      <c r="G1" s="136"/>
      <c r="H1" s="136"/>
      <c r="I1" s="136"/>
      <c r="J1" s="136"/>
      <c r="K1" s="136"/>
    </row>
    <row r="2" spans="1:11" ht="22.5" customHeight="1" x14ac:dyDescent="0.25"/>
    <row r="3" spans="1:11" ht="27.65" customHeight="1" x14ac:dyDescent="0.25">
      <c r="A3" s="213">
        <v>9</v>
      </c>
      <c r="B3" s="213" t="s">
        <v>1064</v>
      </c>
      <c r="C3" s="275" t="s">
        <v>14</v>
      </c>
    </row>
    <row r="4" spans="1:11" s="218" customFormat="1" ht="18.5" x14ac:dyDescent="0.35">
      <c r="A4" s="215" t="s">
        <v>20</v>
      </c>
      <c r="B4" s="215" t="s">
        <v>21</v>
      </c>
      <c r="C4" s="216"/>
    </row>
    <row r="5" spans="1:11" s="100" customFormat="1" ht="14.5" x14ac:dyDescent="0.25">
      <c r="A5" s="213" t="s">
        <v>545</v>
      </c>
      <c r="B5" s="213" t="s">
        <v>1065</v>
      </c>
      <c r="C5" s="214" t="s">
        <v>136</v>
      </c>
    </row>
    <row r="6" spans="1:11" s="136" customFormat="1" ht="116" x14ac:dyDescent="0.25">
      <c r="A6" s="274" t="s">
        <v>546</v>
      </c>
      <c r="B6" s="295" t="s">
        <v>1066</v>
      </c>
      <c r="C6" s="157" t="s">
        <v>27</v>
      </c>
    </row>
    <row r="7" spans="1:11" s="100" customFormat="1" ht="14.5" x14ac:dyDescent="0.25">
      <c r="A7" s="213" t="s">
        <v>558</v>
      </c>
      <c r="B7" s="213" t="s">
        <v>1067</v>
      </c>
      <c r="C7" s="214" t="s">
        <v>136</v>
      </c>
    </row>
    <row r="8" spans="1:11" s="136" customFormat="1" ht="29" x14ac:dyDescent="0.25">
      <c r="A8" s="274" t="s">
        <v>560</v>
      </c>
      <c r="B8" s="295" t="s">
        <v>1068</v>
      </c>
      <c r="C8" s="157" t="s">
        <v>27</v>
      </c>
    </row>
    <row r="9" spans="1:11" s="136" customFormat="1" ht="14.5" x14ac:dyDescent="0.25">
      <c r="A9" s="274" t="s">
        <v>562</v>
      </c>
      <c r="B9" s="295" t="s">
        <v>1069</v>
      </c>
      <c r="C9" s="157" t="s">
        <v>27</v>
      </c>
    </row>
    <row r="10" spans="1:11" s="136" customFormat="1" ht="29" x14ac:dyDescent="0.25">
      <c r="A10" s="274" t="s">
        <v>564</v>
      </c>
      <c r="B10" s="295" t="s">
        <v>1070</v>
      </c>
      <c r="C10" s="157" t="s">
        <v>27</v>
      </c>
    </row>
    <row r="11" spans="1:11" s="136" customFormat="1" ht="14.5" x14ac:dyDescent="0.25">
      <c r="A11" s="274" t="s">
        <v>566</v>
      </c>
      <c r="B11" s="295" t="s">
        <v>1071</v>
      </c>
      <c r="C11" s="157" t="s">
        <v>27</v>
      </c>
    </row>
    <row r="12" spans="1:11" ht="37" customHeight="1" x14ac:dyDescent="0.25">
      <c r="A12" s="274" t="s">
        <v>568</v>
      </c>
      <c r="B12" s="138" t="s">
        <v>1072</v>
      </c>
      <c r="C12" s="157" t="s">
        <v>27</v>
      </c>
    </row>
    <row r="13" spans="1:11" ht="37" customHeight="1" x14ac:dyDescent="0.25">
      <c r="A13" s="274" t="s">
        <v>570</v>
      </c>
      <c r="B13" s="138" t="s">
        <v>1073</v>
      </c>
      <c r="C13" s="157" t="s">
        <v>27</v>
      </c>
    </row>
    <row r="14" spans="1:11" ht="37" customHeight="1" x14ac:dyDescent="0.25">
      <c r="A14" s="274" t="s">
        <v>572</v>
      </c>
      <c r="B14" s="138" t="s">
        <v>1074</v>
      </c>
      <c r="C14" s="157" t="s">
        <v>27</v>
      </c>
    </row>
    <row r="15" spans="1:11" ht="30.75" customHeight="1" x14ac:dyDescent="0.25">
      <c r="A15" s="274" t="s">
        <v>574</v>
      </c>
      <c r="B15" s="138" t="s">
        <v>1192</v>
      </c>
      <c r="C15" s="157" t="s">
        <v>27</v>
      </c>
    </row>
    <row r="16" spans="1:11" ht="30.75" customHeight="1" x14ac:dyDescent="0.25">
      <c r="A16" s="274" t="s">
        <v>1075</v>
      </c>
      <c r="B16" s="138" t="s">
        <v>1076</v>
      </c>
      <c r="C16" s="157" t="s">
        <v>27</v>
      </c>
    </row>
    <row r="17" spans="1:3" ht="30.75" customHeight="1" x14ac:dyDescent="0.25">
      <c r="A17" s="274" t="s">
        <v>1077</v>
      </c>
      <c r="B17" s="138" t="s">
        <v>1078</v>
      </c>
      <c r="C17" s="157" t="s">
        <v>27</v>
      </c>
    </row>
    <row r="18" spans="1:3" ht="30.75" customHeight="1" x14ac:dyDescent="0.25">
      <c r="A18" s="274" t="s">
        <v>1079</v>
      </c>
      <c r="B18" s="138" t="s">
        <v>1080</v>
      </c>
      <c r="C18" s="157" t="s">
        <v>27</v>
      </c>
    </row>
    <row r="19" spans="1:3" ht="30.75" customHeight="1" x14ac:dyDescent="0.25">
      <c r="A19" s="274" t="s">
        <v>1081</v>
      </c>
      <c r="B19" s="138" t="s">
        <v>1082</v>
      </c>
      <c r="C19" s="157" t="s">
        <v>27</v>
      </c>
    </row>
  </sheetData>
  <autoFilter ref="A3:C19" xr:uid="{D192CF9E-2B54-42E4-8496-89C20657CD0B}"/>
  <phoneticPr fontId="9" type="noConversion"/>
  <pageMargins left="0.7" right="0.7" top="0.75" bottom="0.75" header="0.3" footer="0.3"/>
  <pageSetup paperSize="9" orientation="landscape" horizontalDpi="1200" verticalDpi="1200" r:id="rId1"/>
  <headerFooter>
    <oddFooter>&amp;C_x000D_&amp;1#&amp;"Arial"&amp;9&amp;K000000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F2356-5FD6-40C7-85F8-5AF08357CAAB}">
  <dimension ref="A1:H10"/>
  <sheetViews>
    <sheetView zoomScale="90" zoomScaleNormal="90" workbookViewId="0">
      <selection activeCell="G31" sqref="G31"/>
    </sheetView>
  </sheetViews>
  <sheetFormatPr defaultColWidth="8.81640625" defaultRowHeight="12.5" x14ac:dyDescent="0.25"/>
  <cols>
    <col min="1" max="1" width="4.453125" customWidth="1"/>
    <col min="2" max="2" width="37.54296875" customWidth="1"/>
    <col min="3" max="3" width="13.54296875" customWidth="1"/>
    <col min="4" max="4" width="29.453125" customWidth="1"/>
    <col min="5" max="5" width="12.453125" customWidth="1"/>
    <col min="6" max="6" width="21.81640625" customWidth="1"/>
    <col min="7" max="7" width="17.453125" customWidth="1"/>
    <col min="8" max="8" width="13.54296875" bestFit="1" customWidth="1"/>
  </cols>
  <sheetData>
    <row r="1" spans="1:8" s="136" customFormat="1" ht="14.5" x14ac:dyDescent="0.35">
      <c r="A1" s="139" t="str">
        <f>'1. Generellt'!A1</f>
        <v>Ekonomisystem, UPP-2025/047</v>
      </c>
      <c r="B1" s="140"/>
      <c r="C1" s="141"/>
      <c r="E1" s="142" t="s">
        <v>1</v>
      </c>
      <c r="F1" s="208">
        <f>Information!F1</f>
        <v>0</v>
      </c>
      <c r="G1" s="143"/>
      <c r="H1" s="143"/>
    </row>
    <row r="2" spans="1:8" ht="23.5" customHeight="1" thickBot="1" x14ac:dyDescent="0.3"/>
    <row r="3" spans="1:8" ht="58" x14ac:dyDescent="0.25">
      <c r="A3" s="145"/>
      <c r="B3" s="146" t="s">
        <v>1083</v>
      </c>
      <c r="C3" s="145" t="s">
        <v>1084</v>
      </c>
      <c r="D3" s="145" t="s">
        <v>1085</v>
      </c>
      <c r="E3" s="145" t="s">
        <v>1086</v>
      </c>
      <c r="F3" s="146" t="s">
        <v>1087</v>
      </c>
      <c r="G3" s="145" t="s">
        <v>1088</v>
      </c>
      <c r="H3" s="145" t="s">
        <v>1089</v>
      </c>
    </row>
    <row r="4" spans="1:8" s="122" customFormat="1" ht="52" x14ac:dyDescent="0.25">
      <c r="A4" s="147">
        <v>1</v>
      </c>
      <c r="B4" s="162" t="s">
        <v>1090</v>
      </c>
      <c r="C4" s="162" t="s">
        <v>172</v>
      </c>
      <c r="D4" s="158" t="s">
        <v>1091</v>
      </c>
      <c r="E4" s="148">
        <v>1</v>
      </c>
      <c r="F4" s="148" t="s">
        <v>1092</v>
      </c>
      <c r="G4" s="192"/>
      <c r="H4" s="165">
        <f>G4*E4</f>
        <v>0</v>
      </c>
    </row>
    <row r="5" spans="1:8" s="122" customFormat="1" ht="37.5" x14ac:dyDescent="0.25">
      <c r="A5" s="150">
        <v>2</v>
      </c>
      <c r="B5" s="162" t="s">
        <v>1093</v>
      </c>
      <c r="C5" s="162" t="s">
        <v>187</v>
      </c>
      <c r="D5" s="158" t="s">
        <v>1094</v>
      </c>
      <c r="E5" s="148">
        <v>10</v>
      </c>
      <c r="F5" s="148" t="s">
        <v>1095</v>
      </c>
      <c r="G5" s="192"/>
      <c r="H5" s="165">
        <f t="shared" ref="H5:H9" si="0">G5*E5</f>
        <v>0</v>
      </c>
    </row>
    <row r="6" spans="1:8" s="122" customFormat="1" ht="81.650000000000006" customHeight="1" x14ac:dyDescent="0.25">
      <c r="A6" s="150" t="s">
        <v>264</v>
      </c>
      <c r="B6" s="144" t="s">
        <v>1096</v>
      </c>
      <c r="C6" s="158" t="s">
        <v>208</v>
      </c>
      <c r="D6" s="158" t="s">
        <v>1097</v>
      </c>
      <c r="E6" s="148">
        <v>200</v>
      </c>
      <c r="F6" s="148" t="s">
        <v>1098</v>
      </c>
      <c r="G6" s="192"/>
      <c r="H6" s="165">
        <f t="shared" si="0"/>
        <v>0</v>
      </c>
    </row>
    <row r="7" spans="1:8" s="122" customFormat="1" ht="77.150000000000006" customHeight="1" x14ac:dyDescent="0.25">
      <c r="A7" s="280" t="s">
        <v>351</v>
      </c>
      <c r="B7" s="149" t="s">
        <v>1099</v>
      </c>
      <c r="C7" s="160" t="s">
        <v>208</v>
      </c>
      <c r="D7" s="158" t="s">
        <v>1097</v>
      </c>
      <c r="E7" s="148">
        <v>50</v>
      </c>
      <c r="F7" s="159" t="s">
        <v>1098</v>
      </c>
      <c r="G7" s="193"/>
      <c r="H7" s="165">
        <f t="shared" si="0"/>
        <v>0</v>
      </c>
    </row>
    <row r="8" spans="1:8" s="122" customFormat="1" ht="28" x14ac:dyDescent="0.25">
      <c r="A8" s="267" t="s">
        <v>655</v>
      </c>
      <c r="B8" s="151" t="s">
        <v>1100</v>
      </c>
      <c r="C8" s="160" t="s">
        <v>219</v>
      </c>
      <c r="D8" s="158" t="s">
        <v>1101</v>
      </c>
      <c r="E8" s="152">
        <v>10</v>
      </c>
      <c r="F8" s="281" t="s">
        <v>1092</v>
      </c>
      <c r="G8" s="193"/>
      <c r="H8" s="165">
        <f t="shared" si="0"/>
        <v>0</v>
      </c>
    </row>
    <row r="9" spans="1:8" s="122" customFormat="1" ht="30.65" customHeight="1" thickBot="1" x14ac:dyDescent="0.3">
      <c r="A9" s="267" t="s">
        <v>674</v>
      </c>
      <c r="B9" s="279" t="s">
        <v>1102</v>
      </c>
      <c r="C9" s="161" t="s">
        <v>219</v>
      </c>
      <c r="D9" s="158" t="s">
        <v>1101</v>
      </c>
      <c r="E9" s="153">
        <v>10</v>
      </c>
      <c r="F9" s="153" t="s">
        <v>1092</v>
      </c>
      <c r="G9" s="194"/>
      <c r="H9" s="165">
        <f t="shared" si="0"/>
        <v>0</v>
      </c>
    </row>
    <row r="10" spans="1:8" s="15" customFormat="1" ht="13" x14ac:dyDescent="0.25">
      <c r="G10" s="277" t="s">
        <v>1103</v>
      </c>
      <c r="H10" s="278">
        <f>SUM(H4:H9)</f>
        <v>0</v>
      </c>
    </row>
  </sheetData>
  <phoneticPr fontId="9" type="noConversion"/>
  <pageMargins left="0.7" right="0.7" top="0.75" bottom="0.75" header="0.3" footer="0.3"/>
  <pageSetup paperSize="9" orientation="landscape" horizontalDpi="1200" verticalDpi="1200" r:id="rId1"/>
  <headerFooter>
    <oddFooter>&amp;C_x000D_&amp;1#&amp;"Arial"&amp;9&amp;K000000 Confidential</oddFooter>
  </headerFooter>
  <ignoredErrors>
    <ignoredError sqref="F1" unlocked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13BB-AEB7-4F75-836A-09503A80766D}">
  <dimension ref="A1:H15"/>
  <sheetViews>
    <sheetView zoomScale="115" zoomScaleNormal="115" workbookViewId="0">
      <selection activeCell="D32" sqref="D32"/>
    </sheetView>
  </sheetViews>
  <sheetFormatPr defaultRowHeight="12.5" x14ac:dyDescent="0.25"/>
  <cols>
    <col min="1" max="1" width="57.81640625" customWidth="1"/>
    <col min="2" max="3" width="19.1796875" customWidth="1"/>
    <col min="4" max="4" width="15.81640625" customWidth="1"/>
    <col min="5" max="5" width="12.453125" customWidth="1"/>
    <col min="8" max="8" width="0" hidden="1" customWidth="1"/>
  </cols>
  <sheetData>
    <row r="1" spans="1:8" s="136" customFormat="1" ht="25.5" customHeight="1" x14ac:dyDescent="0.25">
      <c r="A1" s="204" t="str">
        <f>'1. Generellt'!A1</f>
        <v>Ekonomisystem, UPP-2025/047</v>
      </c>
      <c r="B1" s="206"/>
      <c r="C1" s="166" t="s">
        <v>1</v>
      </c>
      <c r="D1" s="208">
        <f>Information!D1</f>
        <v>0</v>
      </c>
      <c r="F1" s="167"/>
      <c r="G1" s="144"/>
      <c r="H1" s="144"/>
    </row>
    <row r="2" spans="1:8" ht="24.65" customHeight="1" x14ac:dyDescent="0.25">
      <c r="A2" s="209" t="s">
        <v>1104</v>
      </c>
    </row>
    <row r="3" spans="1:8" ht="29" x14ac:dyDescent="0.25">
      <c r="A3" s="168"/>
      <c r="B3" s="205" t="s">
        <v>1105</v>
      </c>
      <c r="C3" s="169" t="s">
        <v>1106</v>
      </c>
      <c r="D3" s="169" t="s">
        <v>1107</v>
      </c>
      <c r="G3" t="s">
        <v>1108</v>
      </c>
    </row>
    <row r="4" spans="1:8" ht="29" x14ac:dyDescent="0.25">
      <c r="A4" s="170" t="s">
        <v>1109</v>
      </c>
      <c r="B4" s="156"/>
      <c r="C4" s="156"/>
      <c r="D4" s="156">
        <f>IF(B4="MVG",Jämförelsesumma!E8,(IF(B4=G4,Jämförelsesumma!E8/2,0)))</f>
        <v>0</v>
      </c>
      <c r="G4" t="s">
        <v>1110</v>
      </c>
    </row>
    <row r="5" spans="1:8" ht="14.5" x14ac:dyDescent="0.25">
      <c r="A5" s="191"/>
    </row>
    <row r="6" spans="1:8" x14ac:dyDescent="0.25">
      <c r="G6" t="s">
        <v>1111</v>
      </c>
      <c r="H6" t="s">
        <v>1111</v>
      </c>
    </row>
    <row r="7" spans="1:8" ht="43.5" x14ac:dyDescent="0.35">
      <c r="A7" s="171" t="s">
        <v>1112</v>
      </c>
    </row>
    <row r="10" spans="1:8" ht="14.5" x14ac:dyDescent="0.35">
      <c r="B10" s="172"/>
    </row>
    <row r="11" spans="1:8" ht="14.5" x14ac:dyDescent="0.35">
      <c r="A11" s="173"/>
    </row>
    <row r="12" spans="1:8" ht="14.5" x14ac:dyDescent="0.35">
      <c r="A12" s="173"/>
    </row>
    <row r="13" spans="1:8" ht="14.5" x14ac:dyDescent="0.35">
      <c r="A13" s="173"/>
    </row>
    <row r="14" spans="1:8" ht="14.5" x14ac:dyDescent="0.35">
      <c r="A14" s="173"/>
    </row>
    <row r="15" spans="1:8" ht="14.5" x14ac:dyDescent="0.35">
      <c r="A15" s="173"/>
    </row>
  </sheetData>
  <dataValidations count="2">
    <dataValidation type="list" allowBlank="1" showInputMessage="1" showErrorMessage="1" sqref="B5" xr:uid="{0F2CFA43-009E-4C36-AB7A-3FA36467A7F1}">
      <formula1>$H$3:$H$6</formula1>
    </dataValidation>
    <dataValidation type="list" allowBlank="1" showInputMessage="1" showErrorMessage="1" sqref="B4" xr:uid="{47DFEDB5-6201-4821-8DE3-70D1BEC8BE1C}">
      <formula1>$G$3:$G$6</formula1>
    </dataValidation>
  </dataValidations>
  <pageMargins left="0.7" right="0.7" top="0.75" bottom="0.75" header="0.3" footer="0.3"/>
  <pageSetup paperSize="9" orientation="landscape" horizontalDpi="1200" verticalDpi="1200" r:id="rId1"/>
  <ignoredErrors>
    <ignoredError sqref="D1" unlocked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3BB6-731C-4FF4-9CFC-B81D18EA5E2A}">
  <dimension ref="A1:I56"/>
  <sheetViews>
    <sheetView zoomScale="145" zoomScaleNormal="145" workbookViewId="0">
      <pane ySplit="5" topLeftCell="A6" activePane="bottomLeft" state="frozen"/>
      <selection pane="bottomLeft" activeCell="C12" sqref="C12"/>
    </sheetView>
  </sheetViews>
  <sheetFormatPr defaultRowHeight="12.5" x14ac:dyDescent="0.25"/>
  <cols>
    <col min="2" max="2" width="51.81640625" customWidth="1"/>
    <col min="3" max="3" width="19.54296875" customWidth="1"/>
  </cols>
  <sheetData>
    <row r="1" spans="1:9" s="136" customFormat="1" ht="20.5" customHeight="1" x14ac:dyDescent="0.25">
      <c r="A1" s="139" t="str">
        <f>'1. Generellt'!A1</f>
        <v>Ekonomisystem, UPP-2025/047</v>
      </c>
      <c r="B1" s="140"/>
      <c r="D1" s="166" t="s">
        <v>1</v>
      </c>
      <c r="E1" s="208">
        <f>Information!D1</f>
        <v>0</v>
      </c>
      <c r="G1" s="167"/>
      <c r="H1" s="144"/>
      <c r="I1" s="144"/>
    </row>
    <row r="2" spans="1:9" s="136" customFormat="1" ht="32.15" customHeight="1" x14ac:dyDescent="0.25">
      <c r="A2" s="174" t="s">
        <v>1113</v>
      </c>
    </row>
    <row r="3" spans="1:9" s="136" customFormat="1" ht="13" x14ac:dyDescent="0.3">
      <c r="A3" s="210" t="s">
        <v>1114</v>
      </c>
      <c r="C3" s="212"/>
    </row>
    <row r="4" spans="1:9" s="136" customFormat="1" ht="13.5" thickBot="1" x14ac:dyDescent="0.35">
      <c r="A4" s="210" t="s">
        <v>1115</v>
      </c>
      <c r="C4" s="212"/>
    </row>
    <row r="5" spans="1:9" ht="14.5" x14ac:dyDescent="0.35">
      <c r="A5" s="195" t="s">
        <v>20</v>
      </c>
      <c r="B5" s="359" t="s">
        <v>1116</v>
      </c>
      <c r="C5" s="195" t="s">
        <v>1117</v>
      </c>
    </row>
    <row r="6" spans="1:9" ht="29" x14ac:dyDescent="0.35">
      <c r="A6" s="156" t="s">
        <v>22</v>
      </c>
      <c r="B6" s="163" t="s">
        <v>1118</v>
      </c>
      <c r="C6" s="156"/>
    </row>
    <row r="7" spans="1:9" ht="25" x14ac:dyDescent="0.25">
      <c r="A7" s="156" t="s">
        <v>83</v>
      </c>
      <c r="B7" s="163" t="s">
        <v>1119</v>
      </c>
      <c r="C7" s="156"/>
    </row>
    <row r="8" spans="1:9" ht="29" x14ac:dyDescent="0.35">
      <c r="A8" s="156" t="s">
        <v>101</v>
      </c>
      <c r="B8" s="163" t="s">
        <v>1219</v>
      </c>
      <c r="C8" s="156"/>
    </row>
    <row r="9" spans="1:9" x14ac:dyDescent="0.25">
      <c r="A9" s="356" t="s">
        <v>109</v>
      </c>
      <c r="B9" s="163" t="s">
        <v>1220</v>
      </c>
      <c r="C9" s="156"/>
    </row>
    <row r="10" spans="1:9" ht="25" x14ac:dyDescent="0.25">
      <c r="A10" s="156" t="s">
        <v>172</v>
      </c>
      <c r="B10" s="163" t="s">
        <v>1120</v>
      </c>
      <c r="C10" s="156"/>
    </row>
    <row r="11" spans="1:9" x14ac:dyDescent="0.25">
      <c r="A11" s="356" t="s">
        <v>187</v>
      </c>
      <c r="B11" s="163" t="s">
        <v>1224</v>
      </c>
      <c r="C11" s="156"/>
    </row>
    <row r="12" spans="1:9" ht="25" x14ac:dyDescent="0.25">
      <c r="A12" s="156" t="s">
        <v>208</v>
      </c>
      <c r="B12" s="163" t="s">
        <v>1121</v>
      </c>
      <c r="C12" s="156"/>
    </row>
    <row r="13" spans="1:9" x14ac:dyDescent="0.25">
      <c r="A13" s="356" t="s">
        <v>1221</v>
      </c>
      <c r="C13" s="156"/>
    </row>
    <row r="14" spans="1:9" x14ac:dyDescent="0.25">
      <c r="A14" s="356" t="s">
        <v>1222</v>
      </c>
      <c r="B14" s="163"/>
      <c r="C14" s="156"/>
    </row>
    <row r="15" spans="1:9" x14ac:dyDescent="0.25">
      <c r="A15" s="356" t="s">
        <v>1223</v>
      </c>
      <c r="B15" s="163"/>
      <c r="C15" s="156"/>
    </row>
    <row r="16" spans="1:9" ht="37.5" x14ac:dyDescent="0.25">
      <c r="A16" s="156" t="s">
        <v>219</v>
      </c>
      <c r="B16" s="163" t="s">
        <v>1122</v>
      </c>
      <c r="C16" s="156"/>
    </row>
    <row r="17" spans="1:3" ht="25" x14ac:dyDescent="0.25">
      <c r="A17" s="156" t="s">
        <v>235</v>
      </c>
      <c r="B17" s="163" t="s">
        <v>1123</v>
      </c>
      <c r="C17" s="156"/>
    </row>
    <row r="18" spans="1:3" ht="25" x14ac:dyDescent="0.25">
      <c r="A18" s="156" t="s">
        <v>1125</v>
      </c>
      <c r="B18" s="163" t="s">
        <v>1124</v>
      </c>
      <c r="C18" s="156"/>
    </row>
    <row r="19" spans="1:3" ht="25" x14ac:dyDescent="0.25">
      <c r="A19" s="356" t="s">
        <v>1225</v>
      </c>
      <c r="B19" s="163" t="s">
        <v>1126</v>
      </c>
      <c r="C19" s="156"/>
    </row>
    <row r="20" spans="1:3" ht="25" x14ac:dyDescent="0.25">
      <c r="A20" s="356" t="s">
        <v>264</v>
      </c>
      <c r="B20" s="163" t="s">
        <v>1127</v>
      </c>
      <c r="C20" s="156"/>
    </row>
    <row r="21" spans="1:3" x14ac:dyDescent="0.25">
      <c r="A21" s="356" t="s">
        <v>1226</v>
      </c>
      <c r="B21" s="163"/>
      <c r="C21" s="156"/>
    </row>
    <row r="22" spans="1:3" x14ac:dyDescent="0.25">
      <c r="A22" s="356" t="s">
        <v>1227</v>
      </c>
      <c r="B22" s="163"/>
      <c r="C22" s="156"/>
    </row>
    <row r="23" spans="1:3" x14ac:dyDescent="0.25">
      <c r="A23" s="356" t="s">
        <v>1228</v>
      </c>
      <c r="B23" s="163"/>
      <c r="C23" s="156"/>
    </row>
    <row r="24" spans="1:3" ht="29" x14ac:dyDescent="0.35">
      <c r="A24" s="356" t="s">
        <v>351</v>
      </c>
      <c r="B24" s="211" t="s">
        <v>1128</v>
      </c>
      <c r="C24" s="156"/>
    </row>
    <row r="25" spans="1:3" ht="29" x14ac:dyDescent="0.35">
      <c r="A25" s="356" t="s">
        <v>393</v>
      </c>
      <c r="B25" s="163" t="s">
        <v>1129</v>
      </c>
      <c r="C25" s="156"/>
    </row>
    <row r="26" spans="1:3" ht="29" x14ac:dyDescent="0.35">
      <c r="A26" s="356" t="s">
        <v>443</v>
      </c>
      <c r="B26" s="211" t="s">
        <v>1130</v>
      </c>
      <c r="C26" s="156"/>
    </row>
    <row r="27" spans="1:3" ht="29" x14ac:dyDescent="0.35">
      <c r="A27" s="356" t="s">
        <v>1131</v>
      </c>
      <c r="B27" s="131" t="s">
        <v>1132</v>
      </c>
      <c r="C27" s="156"/>
    </row>
    <row r="28" spans="1:3" ht="29" x14ac:dyDescent="0.35">
      <c r="A28" s="356" t="s">
        <v>1133</v>
      </c>
      <c r="B28" s="131" t="s">
        <v>1134</v>
      </c>
      <c r="C28" s="156"/>
    </row>
    <row r="29" spans="1:3" ht="29" x14ac:dyDescent="0.35">
      <c r="A29" s="356" t="s">
        <v>1135</v>
      </c>
      <c r="B29" s="163" t="s">
        <v>1136</v>
      </c>
      <c r="C29" s="156"/>
    </row>
    <row r="30" spans="1:3" ht="25" x14ac:dyDescent="0.25">
      <c r="A30" s="356" t="s">
        <v>655</v>
      </c>
      <c r="B30" s="163" t="s">
        <v>1137</v>
      </c>
      <c r="C30" s="156"/>
    </row>
    <row r="31" spans="1:3" ht="14.5" x14ac:dyDescent="0.25">
      <c r="A31" s="357" t="s">
        <v>1229</v>
      </c>
      <c r="B31" s="163"/>
      <c r="C31" s="156"/>
    </row>
    <row r="32" spans="1:3" ht="14.5" x14ac:dyDescent="0.25">
      <c r="A32" s="357" t="s">
        <v>1230</v>
      </c>
      <c r="B32" s="163"/>
      <c r="C32" s="156"/>
    </row>
    <row r="33" spans="1:3" ht="14.5" x14ac:dyDescent="0.25">
      <c r="A33" s="357" t="s">
        <v>1231</v>
      </c>
      <c r="B33" s="163"/>
      <c r="C33" s="156"/>
    </row>
    <row r="34" spans="1:3" ht="14.5" x14ac:dyDescent="0.25">
      <c r="A34" s="357" t="s">
        <v>1232</v>
      </c>
      <c r="B34" s="163"/>
      <c r="C34" s="156"/>
    </row>
    <row r="35" spans="1:3" ht="15" thickBot="1" x14ac:dyDescent="0.3">
      <c r="A35" s="358" t="s">
        <v>1233</v>
      </c>
      <c r="B35" s="163"/>
      <c r="C35" s="156"/>
    </row>
    <row r="36" spans="1:3" ht="29" x14ac:dyDescent="0.35">
      <c r="A36" s="356" t="s">
        <v>674</v>
      </c>
      <c r="B36" s="163" t="s">
        <v>1138</v>
      </c>
      <c r="C36" s="156"/>
    </row>
    <row r="37" spans="1:3" ht="29" x14ac:dyDescent="0.35">
      <c r="A37" s="356" t="s">
        <v>688</v>
      </c>
      <c r="B37" s="163" t="s">
        <v>1139</v>
      </c>
      <c r="C37" s="156"/>
    </row>
    <row r="38" spans="1:3" ht="25" x14ac:dyDescent="0.25">
      <c r="A38" s="156" t="s">
        <v>720</v>
      </c>
      <c r="B38" s="163" t="s">
        <v>1140</v>
      </c>
      <c r="C38" s="156"/>
    </row>
    <row r="39" spans="1:3" ht="25" x14ac:dyDescent="0.25">
      <c r="A39" s="156" t="s">
        <v>743</v>
      </c>
      <c r="B39" s="163" t="s">
        <v>1141</v>
      </c>
      <c r="C39" s="156"/>
    </row>
    <row r="40" spans="1:3" ht="37.5" x14ac:dyDescent="0.25">
      <c r="A40" s="156" t="s">
        <v>761</v>
      </c>
      <c r="B40" s="163" t="s">
        <v>1142</v>
      </c>
      <c r="C40" s="156"/>
    </row>
    <row r="41" spans="1:3" ht="25" x14ac:dyDescent="0.25">
      <c r="A41" s="156" t="s">
        <v>1143</v>
      </c>
      <c r="B41" s="163" t="s">
        <v>1144</v>
      </c>
      <c r="C41" s="156"/>
    </row>
    <row r="42" spans="1:3" ht="25" x14ac:dyDescent="0.25">
      <c r="A42" s="156" t="s">
        <v>1145</v>
      </c>
      <c r="B42" s="163" t="s">
        <v>1146</v>
      </c>
      <c r="C42" s="156"/>
    </row>
    <row r="43" spans="1:3" ht="25" x14ac:dyDescent="0.25">
      <c r="A43" s="156" t="s">
        <v>1147</v>
      </c>
      <c r="B43" s="163" t="s">
        <v>1148</v>
      </c>
      <c r="C43" s="156"/>
    </row>
    <row r="44" spans="1:3" ht="29" x14ac:dyDescent="0.35">
      <c r="A44" s="156" t="s">
        <v>772</v>
      </c>
      <c r="B44" s="163" t="s">
        <v>1149</v>
      </c>
      <c r="C44" s="156"/>
    </row>
    <row r="45" spans="1:3" ht="29" x14ac:dyDescent="0.35">
      <c r="A45" s="156" t="s">
        <v>784</v>
      </c>
      <c r="B45" s="163" t="s">
        <v>1150</v>
      </c>
      <c r="C45" s="156"/>
    </row>
    <row r="46" spans="1:3" ht="29" x14ac:dyDescent="0.35">
      <c r="A46" s="156" t="s">
        <v>913</v>
      </c>
      <c r="B46" s="163" t="s">
        <v>1151</v>
      </c>
      <c r="C46" s="156"/>
    </row>
    <row r="47" spans="1:3" ht="29" x14ac:dyDescent="0.35">
      <c r="A47" s="156" t="s">
        <v>921</v>
      </c>
      <c r="B47" s="163" t="s">
        <v>1152</v>
      </c>
      <c r="C47" s="156"/>
    </row>
    <row r="48" spans="1:3" ht="25" x14ac:dyDescent="0.25">
      <c r="A48" s="156" t="s">
        <v>941</v>
      </c>
      <c r="B48" s="163" t="s">
        <v>1153</v>
      </c>
      <c r="C48" s="156"/>
    </row>
    <row r="49" spans="1:3" ht="14.5" x14ac:dyDescent="0.35">
      <c r="A49" s="360" t="s">
        <v>1234</v>
      </c>
      <c r="B49" s="163"/>
      <c r="C49" s="156"/>
    </row>
    <row r="50" spans="1:3" ht="14.5" x14ac:dyDescent="0.35">
      <c r="A50" s="360" t="s">
        <v>1235</v>
      </c>
      <c r="B50" s="163"/>
      <c r="C50" s="156"/>
    </row>
    <row r="51" spans="1:3" ht="14.5" x14ac:dyDescent="0.35">
      <c r="A51" s="360" t="s">
        <v>1236</v>
      </c>
      <c r="B51" s="163"/>
      <c r="C51" s="156"/>
    </row>
    <row r="52" spans="1:3" ht="14.5" x14ac:dyDescent="0.35">
      <c r="A52" s="360" t="s">
        <v>1237</v>
      </c>
      <c r="B52" s="163"/>
      <c r="C52" s="156"/>
    </row>
    <row r="53" spans="1:3" ht="25" x14ac:dyDescent="0.25">
      <c r="A53" s="156" t="s">
        <v>974</v>
      </c>
      <c r="B53" s="163" t="s">
        <v>1154</v>
      </c>
      <c r="C53" s="156"/>
    </row>
    <row r="54" spans="1:3" ht="25" x14ac:dyDescent="0.25">
      <c r="A54" s="156" t="s">
        <v>977</v>
      </c>
      <c r="B54" s="163" t="s">
        <v>1155</v>
      </c>
      <c r="C54" s="156"/>
    </row>
    <row r="55" spans="1:3" ht="29" x14ac:dyDescent="0.35">
      <c r="A55" s="156" t="s">
        <v>985</v>
      </c>
      <c r="B55" s="163" t="s">
        <v>1156</v>
      </c>
      <c r="C55" s="156"/>
    </row>
    <row r="56" spans="1:3" x14ac:dyDescent="0.25">
      <c r="B56" s="283" t="s">
        <v>1157</v>
      </c>
      <c r="C56" s="282">
        <f>SUM(C6:C55)</f>
        <v>0</v>
      </c>
    </row>
  </sheetData>
  <phoneticPr fontId="47" type="noConversion"/>
  <pageMargins left="0.7" right="0.7" top="0.75" bottom="0.75" header="0.3" footer="0.3"/>
  <pageSetup paperSize="9" orientation="landscape" horizontalDpi="1200" verticalDpi="1200" r:id="rId1"/>
  <ignoredErrors>
    <ignoredError sqref="E1" unlockedFormula="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F20C7-D084-4251-9D28-C4E0AF978F57}">
  <dimension ref="A1:I17"/>
  <sheetViews>
    <sheetView zoomScale="130" zoomScaleNormal="130" workbookViewId="0">
      <selection activeCell="D15" sqref="D15"/>
    </sheetView>
  </sheetViews>
  <sheetFormatPr defaultRowHeight="20.5" customHeight="1" x14ac:dyDescent="0.25"/>
  <cols>
    <col min="1" max="1" width="2.81640625" customWidth="1"/>
    <col min="2" max="2" width="40.1796875" customWidth="1"/>
    <col min="3" max="3" width="19.81640625" customWidth="1"/>
    <col min="4" max="4" width="29.54296875" customWidth="1"/>
    <col min="5" max="5" width="18.1796875" customWidth="1"/>
  </cols>
  <sheetData>
    <row r="1" spans="1:9" s="136" customFormat="1" ht="20.5" customHeight="1" x14ac:dyDescent="0.35">
      <c r="A1" s="139" t="str">
        <f>'1. Generellt'!A1</f>
        <v>Ekonomisystem, UPP-2025/047</v>
      </c>
      <c r="B1" s="140"/>
      <c r="C1" s="140"/>
      <c r="D1" s="142" t="s">
        <v>1</v>
      </c>
      <c r="E1" s="208">
        <f>Information!D1</f>
        <v>0</v>
      </c>
      <c r="G1" s="167">
        <v>0</v>
      </c>
      <c r="H1" s="144"/>
      <c r="I1" s="144"/>
    </row>
    <row r="2" spans="1:9" s="136" customFormat="1" ht="20.5" customHeight="1" thickBot="1" x14ac:dyDescent="0.3">
      <c r="A2" s="174" t="s">
        <v>1158</v>
      </c>
    </row>
    <row r="3" spans="1:9" ht="29" x14ac:dyDescent="0.25">
      <c r="A3" s="145"/>
      <c r="B3" s="175"/>
      <c r="C3" s="175" t="s">
        <v>1105</v>
      </c>
      <c r="D3" s="176" t="s">
        <v>1159</v>
      </c>
      <c r="E3" s="177" t="s">
        <v>1107</v>
      </c>
      <c r="H3" t="s">
        <v>1108</v>
      </c>
    </row>
    <row r="4" spans="1:9" ht="30.65" customHeight="1" thickBot="1" x14ac:dyDescent="0.3">
      <c r="A4" s="178"/>
      <c r="B4" s="179" t="s">
        <v>1160</v>
      </c>
      <c r="C4" s="180"/>
      <c r="D4" s="181"/>
      <c r="E4" s="182">
        <f>IF(C4="MVG",Jämförelsesumma!E9,(IF(C4="VG ",Jämförelsesumma!E9/2,0)))</f>
        <v>0</v>
      </c>
      <c r="H4" t="s">
        <v>1110</v>
      </c>
    </row>
    <row r="5" spans="1:9" ht="20.5" customHeight="1" x14ac:dyDescent="0.25">
      <c r="H5" t="s">
        <v>1111</v>
      </c>
    </row>
    <row r="12" spans="1:9" ht="69.650000000000006" customHeight="1" x14ac:dyDescent="0.35">
      <c r="B12" s="171" t="s">
        <v>1161</v>
      </c>
    </row>
    <row r="15" spans="1:9" ht="12.5" x14ac:dyDescent="0.25"/>
    <row r="17" spans="4:4" ht="20.5" customHeight="1" x14ac:dyDescent="0.35">
      <c r="D17" s="173"/>
    </row>
  </sheetData>
  <dataValidations count="1">
    <dataValidation type="list" allowBlank="1" showInputMessage="1" showErrorMessage="1" sqref="C4" xr:uid="{146ECEB6-3EDC-4B6F-BEDA-8D3D4DCCEA0D}">
      <formula1>$H$3:$H$5</formula1>
    </dataValidation>
  </dataValidations>
  <pageMargins left="0.7" right="0.7" top="0.75" bottom="0.75" header="0.3" footer="0.3"/>
  <pageSetup paperSize="9" orientation="landscape"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E977-4098-489D-9DC4-CD7EA2DD941F}">
  <dimension ref="A1:G11"/>
  <sheetViews>
    <sheetView zoomScale="140" zoomScaleNormal="140" workbookViewId="0">
      <selection activeCell="D26" sqref="D26"/>
    </sheetView>
  </sheetViews>
  <sheetFormatPr defaultRowHeight="12.5" x14ac:dyDescent="0.25"/>
  <cols>
    <col min="1" max="1" width="4.453125" customWidth="1"/>
    <col min="2" max="2" width="33.453125" customWidth="1"/>
    <col min="3" max="3" width="19" customWidth="1"/>
    <col min="4" max="4" width="24.1796875" bestFit="1" customWidth="1"/>
    <col min="5" max="5" width="15.1796875" customWidth="1"/>
    <col min="6" max="6" width="15.81640625" bestFit="1" customWidth="1"/>
    <col min="7" max="7" width="15.1796875" customWidth="1"/>
  </cols>
  <sheetData>
    <row r="1" spans="1:7" s="136" customFormat="1" ht="18" customHeight="1" x14ac:dyDescent="0.35">
      <c r="A1" s="139" t="str">
        <f>'1. Generellt'!A1</f>
        <v>Ekonomisystem, UPP-2025/047</v>
      </c>
      <c r="B1" s="140"/>
      <c r="C1" s="141"/>
      <c r="D1" s="142" t="s">
        <v>1</v>
      </c>
      <c r="E1" s="208">
        <f>Information!D1</f>
        <v>0</v>
      </c>
      <c r="F1" s="208"/>
      <c r="G1" s="208"/>
    </row>
    <row r="2" spans="1:7" s="136" customFormat="1" x14ac:dyDescent="0.25">
      <c r="A2" s="183" t="s">
        <v>1162</v>
      </c>
    </row>
    <row r="3" spans="1:7" s="136" customFormat="1" x14ac:dyDescent="0.25">
      <c r="A3" s="184"/>
    </row>
    <row r="4" spans="1:7" s="136" customFormat="1" ht="13" thickBot="1" x14ac:dyDescent="0.3">
      <c r="A4" s="184"/>
    </row>
    <row r="5" spans="1:7" ht="22.5" thickBot="1" x14ac:dyDescent="0.4">
      <c r="B5" s="185" t="s">
        <v>1163</v>
      </c>
      <c r="C5" s="186">
        <f>Priser!H10</f>
        <v>0</v>
      </c>
      <c r="E5" s="287" t="s">
        <v>1164</v>
      </c>
      <c r="F5" s="287" t="s">
        <v>1165</v>
      </c>
      <c r="G5" s="287" t="s">
        <v>1166</v>
      </c>
    </row>
    <row r="6" spans="1:7" x14ac:dyDescent="0.25">
      <c r="C6" s="187">
        <f>(G6/F6)*E6</f>
        <v>0</v>
      </c>
      <c r="D6" s="347" t="s">
        <v>1200</v>
      </c>
      <c r="E6" s="289">
        <v>4000000</v>
      </c>
      <c r="F6" s="286">
        <v>53</v>
      </c>
      <c r="G6" s="286">
        <f>'1. Generellt'!E75+'3. Kundreskontra'!E109+'4. Leverantörsreskontra'!E40+'7. Införande och förvaltning'!E80+'8. Tekniska'!E81</f>
        <v>0</v>
      </c>
    </row>
    <row r="7" spans="1:7" x14ac:dyDescent="0.25">
      <c r="C7" s="348">
        <f>'7. Införande och förvaltning'!F63+'7. Införande och förvaltning'!F64+'7. Införande och förvaltning'!F65+'7. Införande och förvaltning'!F66</f>
        <v>0</v>
      </c>
      <c r="D7" s="290" t="s">
        <v>1201</v>
      </c>
      <c r="E7" s="289">
        <v>1380000</v>
      </c>
      <c r="F7" s="286"/>
      <c r="G7" s="286"/>
    </row>
    <row r="8" spans="1:7" x14ac:dyDescent="0.25">
      <c r="C8" s="188">
        <f>Utv.Agilitet!D4</f>
        <v>0</v>
      </c>
      <c r="D8" s="290" t="s">
        <v>1167</v>
      </c>
      <c r="E8" s="289">
        <v>500000</v>
      </c>
      <c r="F8" s="286" t="s">
        <v>1111</v>
      </c>
      <c r="G8" s="286">
        <f>Utv.Agilitet!B4</f>
        <v>0</v>
      </c>
    </row>
    <row r="9" spans="1:7" x14ac:dyDescent="0.25">
      <c r="C9" s="190">
        <f>Utv.Införandeplan!E4</f>
        <v>0</v>
      </c>
      <c r="D9" s="291" t="s">
        <v>1168</v>
      </c>
      <c r="E9" s="289">
        <v>750000</v>
      </c>
      <c r="F9" s="286" t="s">
        <v>1111</v>
      </c>
      <c r="G9" s="286">
        <f>Utv.Införandeplan!C4</f>
        <v>0</v>
      </c>
    </row>
    <row r="10" spans="1:7" ht="13" thickBot="1" x14ac:dyDescent="0.3">
      <c r="C10" s="189">
        <f>(G10/F10)*E10</f>
        <v>0</v>
      </c>
      <c r="D10" s="292" t="s">
        <v>1169</v>
      </c>
      <c r="E10" s="289">
        <v>7000000</v>
      </c>
      <c r="F10" s="286">
        <v>66</v>
      </c>
      <c r="G10" s="293">
        <f>Utv.Användbarhet!C56</f>
        <v>0</v>
      </c>
    </row>
    <row r="11" spans="1:7" ht="15" thickBot="1" x14ac:dyDescent="0.4">
      <c r="B11" s="284" t="s">
        <v>1170</v>
      </c>
      <c r="C11" s="285">
        <f>C5-C6-C7-C8-C9-C10</f>
        <v>0</v>
      </c>
      <c r="E11" s="288"/>
      <c r="F11" s="196"/>
      <c r="G11" s="196"/>
    </row>
  </sheetData>
  <pageMargins left="0.7" right="0.7" top="0.75" bottom="0.75" header="0.3" footer="0.3"/>
  <pageSetup paperSize="9" orientation="landscape" horizontalDpi="1200" verticalDpi="1200" r:id="rId1"/>
  <ignoredErrors>
    <ignoredError sqref="E1"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lcf76f155ced4ddcb4097134ff3c332f xmlns="8faa87db-f8bc-4921-86f8-a858e854269d">
      <Terms xmlns="http://schemas.microsoft.com/office/infopath/2007/PartnerControls"/>
    </lcf76f155ced4ddcb4097134ff3c332f>
    <TaxCatchAll xmlns="ce80e55b-28ab-4288-8663-44fb4e66a9ac" xsi:nil="true"/>
  </documentManagement>
</p:properties>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kument" ma:contentTypeID="0x0101004FE2F3580633A94A822999965C812EE7" ma:contentTypeVersion="14" ma:contentTypeDescription="Skapa ett nytt dokument." ma:contentTypeScope="" ma:versionID="06c8dd39c5487f352e17cc3b1d42a18f">
  <xsd:schema xmlns:xsd="http://www.w3.org/2001/XMLSchema" xmlns:xs="http://www.w3.org/2001/XMLSchema" xmlns:p="http://schemas.microsoft.com/office/2006/metadata/properties" xmlns:ns2="8faa87db-f8bc-4921-86f8-a858e854269d" xmlns:ns3="ce80e55b-28ab-4288-8663-44fb4e66a9ac" targetNamespace="http://schemas.microsoft.com/office/2006/metadata/properties" ma:root="true" ma:fieldsID="7a7be23febd84be567e270bd4318f358" ns2:_="" ns3:_="">
    <xsd:import namespace="8faa87db-f8bc-4921-86f8-a858e854269d"/>
    <xsd:import namespace="ce80e55b-28ab-4288-8663-44fb4e66a9a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aa87db-f8bc-4921-86f8-a858e85426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eringar" ma:readOnly="false" ma:fieldId="{5cf76f15-5ced-4ddc-b409-7134ff3c332f}" ma:taxonomyMulti="true" ma:sspId="df972605-1a35-4d14-abd8-e7f8da4c9a4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80e55b-28ab-4288-8663-44fb4e66a9a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493e2b4-b73f-4b7c-af97-e8e1e5a46690}" ma:internalName="TaxCatchAll" ma:showField="CatchAllData" ma:web="ce80e55b-28ab-4288-8663-44fb4e66a9a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E52037-0317-49A2-AC2A-F22D48062B50}">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8faa87db-f8bc-4921-86f8-a858e854269d"/>
    <ds:schemaRef ds:uri="http://schemas.microsoft.com/office/infopath/2007/PartnerControls"/>
    <ds:schemaRef ds:uri="ce80e55b-28ab-4288-8663-44fb4e66a9ac"/>
    <ds:schemaRef ds:uri="http://www.w3.org/XML/1998/namespace"/>
    <ds:schemaRef ds:uri="http://purl.org/dc/dcmitype/"/>
  </ds:schemaRefs>
</ds:datastoreItem>
</file>

<file path=customXml/itemProps2.xml><?xml version="1.0" encoding="utf-8"?>
<ds:datastoreItem xmlns:ds="http://schemas.openxmlformats.org/officeDocument/2006/customXml" ds:itemID="{AE2C9FE7-4BB4-49D7-9359-87FBA359405B}">
  <ds:schemaRefs>
    <ds:schemaRef ds:uri="http://schemas.microsoft.com/office/2006/metadata/longProperties"/>
  </ds:schemaRefs>
</ds:datastoreItem>
</file>

<file path=customXml/itemProps3.xml><?xml version="1.0" encoding="utf-8"?>
<ds:datastoreItem xmlns:ds="http://schemas.openxmlformats.org/officeDocument/2006/customXml" ds:itemID="{55888C2A-1173-4CB9-BAD8-A5C363CE2149}">
  <ds:schemaRefs>
    <ds:schemaRef ds:uri="http://schemas.microsoft.com/sharepoint/v3/contenttype/forms"/>
  </ds:schemaRefs>
</ds:datastoreItem>
</file>

<file path=customXml/itemProps4.xml><?xml version="1.0" encoding="utf-8"?>
<ds:datastoreItem xmlns:ds="http://schemas.openxmlformats.org/officeDocument/2006/customXml" ds:itemID="{2F54243C-0713-4A2A-BD34-FD7DD6C6CE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aa87db-f8bc-4921-86f8-a858e854269d"/>
    <ds:schemaRef ds:uri="ce80e55b-28ab-4288-8663-44fb4e66a9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0d33d7-bbe4-47b8-a5ad-6a3992657a0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17</vt:i4>
      </vt:variant>
      <vt:variant>
        <vt:lpstr>Namngivna områden</vt:lpstr>
      </vt:variant>
      <vt:variant>
        <vt:i4>24</vt:i4>
      </vt:variant>
    </vt:vector>
  </HeadingPairs>
  <TitlesOfParts>
    <vt:vector size="41" baseType="lpstr">
      <vt:lpstr>Information</vt:lpstr>
      <vt:lpstr>1. Generellt</vt:lpstr>
      <vt:lpstr>2. Redovisning</vt:lpstr>
      <vt:lpstr>3. Kundreskontra</vt:lpstr>
      <vt:lpstr>7. Logistik</vt:lpstr>
      <vt:lpstr>8. Försäljning</vt:lpstr>
      <vt:lpstr>4. Leverantörsreskontra</vt:lpstr>
      <vt:lpstr>5. Anläggningsregister</vt:lpstr>
      <vt:lpstr>6. Projekt</vt:lpstr>
      <vt:lpstr>7. Införande och förvaltning</vt:lpstr>
      <vt:lpstr>8. Tekniska</vt:lpstr>
      <vt:lpstr>9. Övriga</vt:lpstr>
      <vt:lpstr>Priser</vt:lpstr>
      <vt:lpstr>Utv.Agilitet</vt:lpstr>
      <vt:lpstr>Utv.Användbarhet</vt:lpstr>
      <vt:lpstr>Utv.Införandeplan</vt:lpstr>
      <vt:lpstr>Jämförelsesumma</vt:lpstr>
      <vt:lpstr>'1. Generellt'!Utskriftsområde</vt:lpstr>
      <vt:lpstr>'2. Redovisning'!Utskriftsområde</vt:lpstr>
      <vt:lpstr>'3. Kundreskontra'!Utskriftsområde</vt:lpstr>
      <vt:lpstr>'4. Leverantörsreskontra'!Utskriftsområde</vt:lpstr>
      <vt:lpstr>'5. Anläggningsregister'!Utskriftsområde</vt:lpstr>
      <vt:lpstr>'6. Projekt'!Utskriftsområde</vt:lpstr>
      <vt:lpstr>'7. Införande och förvaltning'!Utskriftsområde</vt:lpstr>
      <vt:lpstr>'7. Logistik'!Utskriftsområde</vt:lpstr>
      <vt:lpstr>'8. Försäljning'!Utskriftsområde</vt:lpstr>
      <vt:lpstr>'8. Tekniska'!Utskriftsområde</vt:lpstr>
      <vt:lpstr>'9. Övriga'!Utskriftsområde</vt:lpstr>
      <vt:lpstr>Information!Utskriftsområde</vt:lpstr>
      <vt:lpstr>Jämförelsesumma!Utskriftsområde</vt:lpstr>
      <vt:lpstr>Priser!Utskriftsområde</vt:lpstr>
      <vt:lpstr>Utv.Agilitet!Utskriftsområde</vt:lpstr>
      <vt:lpstr>Utv.Användbarhet!Utskriftsområde</vt:lpstr>
      <vt:lpstr>Utv.Införandeplan!Utskriftsområde</vt:lpstr>
      <vt:lpstr>'1. Generellt'!Utskriftsrubriker</vt:lpstr>
      <vt:lpstr>'2. Redovisning'!Utskriftsrubriker</vt:lpstr>
      <vt:lpstr>'3. Kundreskontra'!Utskriftsrubriker</vt:lpstr>
      <vt:lpstr>'4. Leverantörsreskontra'!Utskriftsrubriker</vt:lpstr>
      <vt:lpstr>'5. Anläggningsregister'!Utskriftsrubriker</vt:lpstr>
      <vt:lpstr>'7. Logistik'!Utskriftsrubriker</vt:lpstr>
      <vt:lpstr>'8. Försäljning'!Utskriftsrubriker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Detaljerade krav - Nytt affärssystem version 2</dc:title>
  <dc:subject/>
  <dc:creator>Jonas Andersson</dc:creator>
  <cp:keywords/>
  <dc:description/>
  <cp:lastModifiedBy>Prasolova, Julia</cp:lastModifiedBy>
  <cp:revision/>
  <dcterms:created xsi:type="dcterms:W3CDTF">1997-04-25T17:56:11Z</dcterms:created>
  <dcterms:modified xsi:type="dcterms:W3CDTF">2025-10-02T12:22:27Z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Dokument</vt:lpwstr>
  </property>
  <property fmtid="{D5CDD505-2E9C-101B-9397-08002B2CF9AE}" pid="3" name="ContentTypeId">
    <vt:lpwstr>0x0101004FE2F3580633A94A822999965C812EE7</vt:lpwstr>
  </property>
  <property fmtid="{D5CDD505-2E9C-101B-9397-08002B2CF9AE}" pid="4" name="Leverantör">
    <vt:lpwstr>Herbert Nathan &amp; CO</vt:lpwstr>
  </property>
  <property fmtid="{D5CDD505-2E9C-101B-9397-08002B2CF9AE}" pid="5" name="Typ av dokument">
    <vt:lpwstr>Extern kravspec/ Anbudsförfrågan</vt:lpwstr>
  </property>
  <property fmtid="{D5CDD505-2E9C-101B-9397-08002B2CF9AE}" pid="6" name="validateEnabled">
    <vt:bool>false</vt:bool>
  </property>
  <property fmtid="{D5CDD505-2E9C-101B-9397-08002B2CF9AE}" pid="7" name="exportEnabled">
    <vt:bool>false</vt:bool>
  </property>
  <property fmtid="{D5CDD505-2E9C-101B-9397-08002B2CF9AE}" pid="8" name="debugVisible">
    <vt:bool>false</vt:bool>
  </property>
  <property fmtid="{D5CDD505-2E9C-101B-9397-08002B2CF9AE}" pid="9" name="importEnabled">
    <vt:bool>false</vt:bool>
  </property>
  <property fmtid="{D5CDD505-2E9C-101B-9397-08002B2CF9AE}" pid="10" name="AuthorIds_UIVersion_1024">
    <vt:lpwstr>3</vt:lpwstr>
  </property>
  <property fmtid="{D5CDD505-2E9C-101B-9397-08002B2CF9AE}" pid="11" name="AuthorIds_UIVersion_3072">
    <vt:lpwstr>3</vt:lpwstr>
  </property>
  <property fmtid="{D5CDD505-2E9C-101B-9397-08002B2CF9AE}" pid="12" name="AuthorIds_UIVersion_4608">
    <vt:lpwstr>3</vt:lpwstr>
  </property>
  <property fmtid="{D5CDD505-2E9C-101B-9397-08002B2CF9AE}" pid="13" name="Kund_Nr">
    <vt:lpwstr>
    </vt:lpwstr>
  </property>
  <property fmtid="{D5CDD505-2E9C-101B-9397-08002B2CF9AE}" pid="14" name="Projekt namn">
    <vt:lpwstr>
    </vt:lpwstr>
  </property>
  <property fmtid="{D5CDD505-2E9C-101B-9397-08002B2CF9AE}" pid="15" name="Anläggning">
    <vt:lpwstr>
    </vt:lpwstr>
  </property>
  <property fmtid="{D5CDD505-2E9C-101B-9397-08002B2CF9AE}" pid="16" name="Lev.namn">
    <vt:lpwstr>
    </vt:lpwstr>
  </property>
  <property fmtid="{D5CDD505-2E9C-101B-9397-08002B2CF9AE}" pid="17" name="Lev.Postnr">
    <vt:lpwstr>
    </vt:lpwstr>
  </property>
  <property fmtid="{D5CDD505-2E9C-101B-9397-08002B2CF9AE}" pid="18" name="SkapadDatum">
    <vt:lpwstr>2019-12-12</vt:lpwstr>
  </property>
  <property fmtid="{D5CDD505-2E9C-101B-9397-08002B2CF9AE}" pid="19" name="kund_namn">
    <vt:lpwstr>
    </vt:lpwstr>
  </property>
  <property fmtid="{D5CDD505-2E9C-101B-9397-08002B2CF9AE}" pid="20" name="Dok_ID">
    <vt:lpwstr>20191212-132</vt:lpwstr>
  </property>
  <property fmtid="{D5CDD505-2E9C-101B-9397-08002B2CF9AE}" pid="21" name="kund_adress">
    <vt:lpwstr>
    </vt:lpwstr>
  </property>
  <property fmtid="{D5CDD505-2E9C-101B-9397-08002B2CF9AE}" pid="22" name="kund_attn">
    <vt:lpwstr>
    </vt:lpwstr>
  </property>
  <property fmtid="{D5CDD505-2E9C-101B-9397-08002B2CF9AE}" pid="23" name="ärendenummer">
    <vt:lpwstr>
    </vt:lpwstr>
  </property>
  <property fmtid="{D5CDD505-2E9C-101B-9397-08002B2CF9AE}" pid="24" name="kund_ort">
    <vt:lpwstr>
    </vt:lpwstr>
  </property>
  <property fmtid="{D5CDD505-2E9C-101B-9397-08002B2CF9AE}" pid="25" name="Lev.Attn">
    <vt:lpwstr>
    </vt:lpwstr>
  </property>
  <property fmtid="{D5CDD505-2E9C-101B-9397-08002B2CF9AE}" pid="26" name="Lev.adress">
    <vt:lpwstr>
    </vt:lpwstr>
  </property>
  <property fmtid="{D5CDD505-2E9C-101B-9397-08002B2CF9AE}" pid="27" name="Proj_nummer">
    <vt:lpwstr>
    </vt:lpwstr>
  </property>
  <property fmtid="{D5CDD505-2E9C-101B-9397-08002B2CF9AE}" pid="28" name="Lev.Ort">
    <vt:lpwstr>
    </vt:lpwstr>
  </property>
  <property fmtid="{D5CDD505-2E9C-101B-9397-08002B2CF9AE}" pid="29" name="kund_postnummer">
    <vt:lpwstr>
    </vt:lpwstr>
  </property>
  <property fmtid="{D5CDD505-2E9C-101B-9397-08002B2CF9AE}" pid="30" name="Beskrivning">
    <vt:lpwstr>Kravspecifikation_GEAB_Aggregerad_slutlig</vt:lpwstr>
  </property>
  <property fmtid="{D5CDD505-2E9C-101B-9397-08002B2CF9AE}" pid="31" name="Revision">
    <vt:lpwstr>-</vt:lpwstr>
  </property>
  <property fmtid="{D5CDD505-2E9C-101B-9397-08002B2CF9AE}" pid="32" name="MediaServiceImageTags">
    <vt:lpwstr/>
  </property>
</Properties>
</file>